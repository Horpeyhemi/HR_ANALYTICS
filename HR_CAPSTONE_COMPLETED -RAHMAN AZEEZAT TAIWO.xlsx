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TCGS\Documents\"/>
    </mc:Choice>
  </mc:AlternateContent>
  <xr:revisionPtr revIDLastSave="0" documentId="13_ncr:1_{E824F229-F62D-4A39-9516-CA9F3EBB19B3}" xr6:coauthVersionLast="47" xr6:coauthVersionMax="47" xr10:uidLastSave="{00000000-0000-0000-0000-000000000000}"/>
  <bookViews>
    <workbookView xWindow="-120" yWindow="-120" windowWidth="20730" windowHeight="11160" xr2:uid="{7CA53996-1C58-4B66-94DA-7AD70F662CCF}"/>
  </bookViews>
  <sheets>
    <sheet name="Raw-Employee-Data" sheetId="1" r:id="rId1"/>
    <sheet name="Lookup-Departments" sheetId="2" r:id="rId2"/>
    <sheet name="Lookup-Performance " sheetId="3" r:id="rId3"/>
    <sheet name="Analysis" sheetId="4" r:id="rId4"/>
    <sheet name="HR DASHBOARD" sheetId="20" r:id="rId5"/>
  </sheets>
  <definedNames>
    <definedName name="Slicer_Department_Name">#N/A</definedName>
    <definedName name="Slicer_Left_Band">#N/A</definedName>
    <definedName name="Slicer_Performance_Band1">#N/A</definedName>
  </definedNames>
  <calcPr calcId="191029"/>
  <pivotCaches>
    <pivotCache cacheId="1" r:id="rId6"/>
    <pivotCache cacheId="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51" i="1" l="1"/>
  <c r="N151" i="1" s="1" a="1"/>
  <c r="N151" i="1" s="1"/>
  <c r="M150" i="1"/>
  <c r="N150" i="1" s="1" a="1"/>
  <c r="N150" i="1" s="1"/>
  <c r="M149" i="1"/>
  <c r="N149" i="1" s="1" a="1"/>
  <c r="N149" i="1" s="1"/>
  <c r="M148" i="1"/>
  <c r="N148" i="1" s="1" a="1"/>
  <c r="N148" i="1" s="1"/>
  <c r="M147" i="1"/>
  <c r="N147" i="1" s="1" a="1"/>
  <c r="N147" i="1" s="1"/>
  <c r="M146" i="1"/>
  <c r="N146" i="1" s="1" a="1"/>
  <c r="N146" i="1" s="1"/>
  <c r="M145" i="1"/>
  <c r="N145" i="1" s="1" a="1"/>
  <c r="N145" i="1" s="1"/>
  <c r="M144" i="1"/>
  <c r="N144" i="1" s="1" a="1"/>
  <c r="N144" i="1" s="1"/>
  <c r="M143" i="1"/>
  <c r="N143" i="1" s="1" a="1"/>
  <c r="N143" i="1" s="1"/>
  <c r="M142" i="1"/>
  <c r="N142" i="1" s="1" a="1"/>
  <c r="N142" i="1" s="1"/>
  <c r="M141" i="1"/>
  <c r="N141" i="1" s="1" a="1"/>
  <c r="N141" i="1" s="1"/>
  <c r="M140" i="1"/>
  <c r="N140" i="1" s="1" a="1"/>
  <c r="N140" i="1" s="1"/>
  <c r="M139" i="1"/>
  <c r="N139" i="1" s="1" a="1"/>
  <c r="N139" i="1" s="1"/>
  <c r="M138" i="1"/>
  <c r="N138" i="1" s="1" a="1"/>
  <c r="N138" i="1" s="1"/>
  <c r="M137" i="1"/>
  <c r="N137" i="1" s="1" a="1"/>
  <c r="N137" i="1" s="1"/>
  <c r="M136" i="1"/>
  <c r="N136" i="1" s="1" a="1"/>
  <c r="N136" i="1" s="1"/>
  <c r="M135" i="1"/>
  <c r="N135" i="1" s="1" a="1"/>
  <c r="N135" i="1" s="1"/>
  <c r="M134" i="1"/>
  <c r="N134" i="1" s="1" a="1"/>
  <c r="N134" i="1" s="1"/>
  <c r="M133" i="1"/>
  <c r="N133" i="1" s="1" a="1"/>
  <c r="N133" i="1" s="1"/>
  <c r="M132" i="1"/>
  <c r="N132" i="1" s="1" a="1"/>
  <c r="N132" i="1" s="1"/>
  <c r="M131" i="1"/>
  <c r="N131" i="1" s="1" a="1"/>
  <c r="N131" i="1" s="1"/>
  <c r="M130" i="1"/>
  <c r="N130" i="1" s="1" a="1"/>
  <c r="N130" i="1" s="1"/>
  <c r="M129" i="1"/>
  <c r="N129" i="1" s="1" a="1"/>
  <c r="N129" i="1" s="1"/>
  <c r="M128" i="1"/>
  <c r="N128" i="1" s="1" a="1"/>
  <c r="N128" i="1" s="1"/>
  <c r="M127" i="1"/>
  <c r="N127" i="1" s="1" a="1"/>
  <c r="N127" i="1" s="1"/>
  <c r="M126" i="1"/>
  <c r="N126" i="1" s="1" a="1"/>
  <c r="N126" i="1" s="1"/>
  <c r="M125" i="1"/>
  <c r="N125" i="1" s="1" a="1"/>
  <c r="N125" i="1" s="1"/>
  <c r="M124" i="1"/>
  <c r="N124" i="1" s="1" a="1"/>
  <c r="N124" i="1" s="1"/>
  <c r="M123" i="1"/>
  <c r="N123" i="1" s="1" a="1"/>
  <c r="N123" i="1" s="1"/>
  <c r="M122" i="1"/>
  <c r="N122" i="1" s="1" a="1"/>
  <c r="N122" i="1" s="1"/>
  <c r="M121" i="1"/>
  <c r="N121" i="1" s="1" a="1"/>
  <c r="N121" i="1" s="1"/>
  <c r="M120" i="1"/>
  <c r="N120" i="1" s="1" a="1"/>
  <c r="N120" i="1" s="1"/>
  <c r="M119" i="1"/>
  <c r="N119" i="1" s="1" a="1"/>
  <c r="N119" i="1" s="1"/>
  <c r="M118" i="1"/>
  <c r="N118" i="1" s="1" a="1"/>
  <c r="N118" i="1" s="1"/>
  <c r="M117" i="1"/>
  <c r="N117" i="1" s="1" a="1"/>
  <c r="N117" i="1" s="1"/>
  <c r="M116" i="1"/>
  <c r="N116" i="1" s="1" a="1"/>
  <c r="N116" i="1" s="1"/>
  <c r="M115" i="1"/>
  <c r="N115" i="1" s="1" a="1"/>
  <c r="N115" i="1" s="1"/>
  <c r="M114" i="1"/>
  <c r="N114" i="1" s="1" a="1"/>
  <c r="N114" i="1" s="1"/>
  <c r="M113" i="1"/>
  <c r="N113" i="1" s="1" a="1"/>
  <c r="N113" i="1" s="1"/>
  <c r="M112" i="1"/>
  <c r="N112" i="1" s="1" a="1"/>
  <c r="N112" i="1" s="1"/>
  <c r="M111" i="1"/>
  <c r="N111" i="1" s="1" a="1"/>
  <c r="N111" i="1" s="1"/>
  <c r="M110" i="1"/>
  <c r="N110" i="1" s="1" a="1"/>
  <c r="N110" i="1" s="1"/>
  <c r="M109" i="1"/>
  <c r="N109" i="1" s="1" a="1"/>
  <c r="N109" i="1" s="1"/>
  <c r="M108" i="1"/>
  <c r="N108" i="1" s="1" a="1"/>
  <c r="N108" i="1" s="1"/>
  <c r="M107" i="1"/>
  <c r="N107" i="1" s="1" a="1"/>
  <c r="N107" i="1" s="1"/>
  <c r="M105" i="1"/>
  <c r="N105" i="1" s="1" a="1"/>
  <c r="N105" i="1" s="1"/>
  <c r="M104" i="1"/>
  <c r="N104" i="1" s="1" a="1"/>
  <c r="N104" i="1" s="1"/>
  <c r="M103" i="1"/>
  <c r="N103" i="1" s="1" a="1"/>
  <c r="N103" i="1" s="1"/>
  <c r="M102" i="1"/>
  <c r="N102" i="1" s="1" a="1"/>
  <c r="N102" i="1" s="1"/>
  <c r="M101" i="1"/>
  <c r="N101" i="1" s="1" a="1"/>
  <c r="N101" i="1" s="1"/>
  <c r="M100" i="1"/>
  <c r="N100" i="1" s="1" a="1"/>
  <c r="N100" i="1" s="1"/>
  <c r="M99" i="1"/>
  <c r="N99" i="1" s="1" a="1"/>
  <c r="N99" i="1" s="1"/>
  <c r="M98" i="1"/>
  <c r="N98" i="1" s="1" a="1"/>
  <c r="N98" i="1" s="1"/>
  <c r="M97" i="1"/>
  <c r="N97" i="1" s="1" a="1"/>
  <c r="N97" i="1" s="1"/>
  <c r="M96" i="1"/>
  <c r="N96" i="1" s="1" a="1"/>
  <c r="N96" i="1" s="1"/>
  <c r="M95" i="1"/>
  <c r="N95" i="1" s="1" a="1"/>
  <c r="N95" i="1" s="1"/>
  <c r="M94" i="1"/>
  <c r="N94" i="1" s="1" a="1"/>
  <c r="N94" i="1" s="1"/>
  <c r="M93" i="1"/>
  <c r="N93" i="1" s="1" a="1"/>
  <c r="N93" i="1" s="1"/>
  <c r="M92" i="1"/>
  <c r="N92" i="1" s="1" a="1"/>
  <c r="N92" i="1" s="1"/>
  <c r="M91" i="1"/>
  <c r="N91" i="1" s="1" a="1"/>
  <c r="N91" i="1" s="1"/>
  <c r="M90" i="1"/>
  <c r="N90" i="1" s="1" a="1"/>
  <c r="N90" i="1" s="1"/>
  <c r="M89" i="1"/>
  <c r="N89" i="1" s="1" a="1"/>
  <c r="N89" i="1" s="1"/>
  <c r="M88" i="1"/>
  <c r="N88" i="1" s="1" a="1"/>
  <c r="N88" i="1" s="1"/>
  <c r="M87" i="1"/>
  <c r="N87" i="1" s="1" a="1"/>
  <c r="N87" i="1" s="1"/>
  <c r="M86" i="1"/>
  <c r="N86" i="1" s="1" a="1"/>
  <c r="N86" i="1" s="1"/>
  <c r="M85" i="1"/>
  <c r="N85" i="1" s="1" a="1"/>
  <c r="N85" i="1" s="1"/>
  <c r="M84" i="1"/>
  <c r="N84" i="1" s="1" a="1"/>
  <c r="N84" i="1" s="1"/>
  <c r="M83" i="1"/>
  <c r="N83" i="1" s="1" a="1"/>
  <c r="N83" i="1" s="1"/>
  <c r="M82" i="1"/>
  <c r="N82" i="1" s="1" a="1"/>
  <c r="N82" i="1" s="1"/>
  <c r="M80" i="1"/>
  <c r="N80" i="1" s="1" a="1"/>
  <c r="N80" i="1" s="1"/>
  <c r="M79" i="1"/>
  <c r="N79" i="1" s="1" a="1"/>
  <c r="N79" i="1" s="1"/>
  <c r="M78" i="1"/>
  <c r="N78" i="1" s="1" a="1"/>
  <c r="N78" i="1" s="1"/>
  <c r="M77" i="1"/>
  <c r="N77" i="1" s="1" a="1"/>
  <c r="N77" i="1" s="1"/>
  <c r="M76" i="1"/>
  <c r="N76" i="1" s="1" a="1"/>
  <c r="N76" i="1" s="1"/>
  <c r="M75" i="1"/>
  <c r="N75" i="1" s="1" a="1"/>
  <c r="N75" i="1" s="1"/>
  <c r="M74" i="1"/>
  <c r="N74" i="1" s="1" a="1"/>
  <c r="N74" i="1" s="1"/>
  <c r="M73" i="1"/>
  <c r="N73" i="1" s="1" a="1"/>
  <c r="N73" i="1" s="1"/>
  <c r="M72" i="1"/>
  <c r="N72" i="1" s="1" a="1"/>
  <c r="N72" i="1" s="1"/>
  <c r="M71" i="1"/>
  <c r="N71" i="1" s="1" a="1"/>
  <c r="N71" i="1" s="1"/>
  <c r="M70" i="1"/>
  <c r="N70" i="1" s="1" a="1"/>
  <c r="N70" i="1" s="1"/>
  <c r="M69" i="1"/>
  <c r="N69" i="1" s="1" a="1"/>
  <c r="N69" i="1" s="1"/>
  <c r="M67" i="1"/>
  <c r="N67" i="1" s="1" a="1"/>
  <c r="N67" i="1" s="1"/>
  <c r="M66" i="1"/>
  <c r="N66" i="1" s="1" a="1"/>
  <c r="N66" i="1" s="1"/>
  <c r="M65" i="1"/>
  <c r="N65" i="1" s="1" a="1"/>
  <c r="N65" i="1" s="1"/>
  <c r="M64" i="1"/>
  <c r="N64" i="1" s="1" a="1"/>
  <c r="N64" i="1" s="1"/>
  <c r="M63" i="1"/>
  <c r="N63" i="1" s="1" a="1"/>
  <c r="N63" i="1" s="1"/>
  <c r="M62" i="1"/>
  <c r="N62" i="1" s="1" a="1"/>
  <c r="N62" i="1" s="1"/>
  <c r="M61" i="1"/>
  <c r="N61" i="1" s="1" a="1"/>
  <c r="N61" i="1" s="1"/>
  <c r="M59" i="1"/>
  <c r="N59" i="1" s="1" a="1"/>
  <c r="N59" i="1" s="1"/>
  <c r="M58" i="1"/>
  <c r="N58" i="1" s="1" a="1"/>
  <c r="N58" i="1" s="1"/>
  <c r="M57" i="1"/>
  <c r="N57" i="1" s="1" a="1"/>
  <c r="N57" i="1" s="1"/>
  <c r="M56" i="1"/>
  <c r="N56" i="1" s="1" a="1"/>
  <c r="N56" i="1" s="1"/>
  <c r="M55" i="1"/>
  <c r="N55" i="1" s="1" a="1"/>
  <c r="N55" i="1" s="1"/>
  <c r="M54" i="1"/>
  <c r="N54" i="1" s="1" a="1"/>
  <c r="N54" i="1" s="1"/>
  <c r="M53" i="1"/>
  <c r="N53" i="1" s="1" a="1"/>
  <c r="N53" i="1" s="1"/>
  <c r="M52" i="1"/>
  <c r="N52" i="1" s="1" a="1"/>
  <c r="N52" i="1" s="1"/>
  <c r="M50" i="1"/>
  <c r="N50" i="1" s="1" a="1"/>
  <c r="N50" i="1" s="1"/>
  <c r="M49" i="1"/>
  <c r="N49" i="1" s="1" a="1"/>
  <c r="N49" i="1" s="1"/>
  <c r="M48" i="1"/>
  <c r="N48" i="1" s="1" a="1"/>
  <c r="N48" i="1" s="1"/>
  <c r="M47" i="1"/>
  <c r="N47" i="1" s="1" a="1"/>
  <c r="N47" i="1" s="1"/>
  <c r="M46" i="1"/>
  <c r="N46" i="1" s="1" a="1"/>
  <c r="N46" i="1" s="1"/>
  <c r="M45" i="1"/>
  <c r="N45" i="1" s="1" a="1"/>
  <c r="N45" i="1" s="1"/>
  <c r="M44" i="1"/>
  <c r="N44" i="1" s="1" a="1"/>
  <c r="N44" i="1" s="1"/>
  <c r="M43" i="1"/>
  <c r="N43" i="1" s="1" a="1"/>
  <c r="N43" i="1" s="1"/>
  <c r="M42" i="1"/>
  <c r="N42" i="1" s="1" a="1"/>
  <c r="N42" i="1" s="1"/>
  <c r="M40" i="1"/>
  <c r="N40" i="1" s="1" a="1"/>
  <c r="N40" i="1" s="1"/>
  <c r="M39" i="1"/>
  <c r="N39" i="1" s="1" a="1"/>
  <c r="N39" i="1" s="1"/>
  <c r="M38" i="1"/>
  <c r="N38" i="1" s="1" a="1"/>
  <c r="N38" i="1" s="1"/>
  <c r="M37" i="1"/>
  <c r="N37" i="1" s="1" a="1"/>
  <c r="N37" i="1" s="1"/>
  <c r="M36" i="1"/>
  <c r="N36" i="1" s="1" a="1"/>
  <c r="N36" i="1" s="1"/>
  <c r="M35" i="1"/>
  <c r="N35" i="1" s="1" a="1"/>
  <c r="N35" i="1" s="1"/>
  <c r="M34" i="1"/>
  <c r="N34" i="1" s="1" a="1"/>
  <c r="N34" i="1" s="1"/>
  <c r="M33" i="1"/>
  <c r="N33" i="1" s="1" a="1"/>
  <c r="N33" i="1" s="1"/>
  <c r="M32" i="1"/>
  <c r="N32" i="1" s="1" a="1"/>
  <c r="N32" i="1" s="1"/>
  <c r="M31" i="1"/>
  <c r="N31" i="1" s="1" a="1"/>
  <c r="N31" i="1" s="1"/>
  <c r="M30" i="1"/>
  <c r="N30" i="1" s="1" a="1"/>
  <c r="N30" i="1" s="1"/>
  <c r="M29" i="1"/>
  <c r="N29" i="1" s="1" a="1"/>
  <c r="N29" i="1" s="1"/>
  <c r="M28" i="1"/>
  <c r="N28" i="1" s="1" a="1"/>
  <c r="N28" i="1" s="1"/>
  <c r="M27" i="1"/>
  <c r="N27" i="1" s="1" a="1"/>
  <c r="N27" i="1" s="1"/>
  <c r="M26" i="1"/>
  <c r="N26" i="1" s="1" a="1"/>
  <c r="N26" i="1" s="1"/>
  <c r="M25" i="1"/>
  <c r="N25" i="1" s="1" a="1"/>
  <c r="N25" i="1" s="1"/>
  <c r="M24" i="1"/>
  <c r="N24" i="1" s="1" a="1"/>
  <c r="N24" i="1" s="1"/>
  <c r="M23" i="1"/>
  <c r="N23" i="1" s="1" a="1"/>
  <c r="N23" i="1" s="1"/>
  <c r="M22" i="1"/>
  <c r="N22" i="1" s="1" a="1"/>
  <c r="N22" i="1" s="1"/>
  <c r="M21" i="1"/>
  <c r="N21" i="1" s="1" a="1"/>
  <c r="N21" i="1" s="1"/>
  <c r="M20" i="1"/>
  <c r="N20" i="1" s="1" a="1"/>
  <c r="N20" i="1" s="1"/>
  <c r="M19" i="1"/>
  <c r="N19" i="1" s="1" a="1"/>
  <c r="N19" i="1" s="1"/>
  <c r="M18" i="1"/>
  <c r="N18" i="1" s="1" a="1"/>
  <c r="N18" i="1" s="1"/>
  <c r="M17" i="1"/>
  <c r="N17" i="1" s="1" a="1"/>
  <c r="N17" i="1" s="1"/>
  <c r="M15" i="1"/>
  <c r="N15" i="1" s="1" a="1"/>
  <c r="N15" i="1" s="1"/>
  <c r="M14" i="1"/>
  <c r="N14" i="1" s="1" a="1"/>
  <c r="N14" i="1" s="1"/>
  <c r="M13" i="1"/>
  <c r="N13" i="1" s="1" a="1"/>
  <c r="N13" i="1" s="1"/>
  <c r="M12" i="1"/>
  <c r="N12" i="1" s="1" a="1"/>
  <c r="N12" i="1" s="1"/>
  <c r="M11" i="1"/>
  <c r="N11" i="1" s="1" a="1"/>
  <c r="N11" i="1" s="1"/>
  <c r="M10" i="1"/>
  <c r="N10" i="1" s="1" a="1"/>
  <c r="N10" i="1" s="1"/>
  <c r="M9" i="1"/>
  <c r="N9" i="1" s="1" a="1"/>
  <c r="N9" i="1" s="1"/>
  <c r="M8" i="1"/>
  <c r="N8" i="1" s="1" a="1"/>
  <c r="N8" i="1" s="1"/>
  <c r="M7" i="1"/>
  <c r="N7" i="1" s="1" a="1"/>
  <c r="N7" i="1" s="1"/>
  <c r="M6" i="1"/>
  <c r="N6" i="1" s="1" a="1"/>
  <c r="N6" i="1" s="1"/>
  <c r="M5" i="1"/>
  <c r="N5" i="1" s="1" a="1"/>
  <c r="N5" i="1" s="1"/>
  <c r="M4" i="1"/>
  <c r="N4" i="1" s="1" a="1"/>
  <c r="N4" i="1" s="1"/>
  <c r="M2" i="1"/>
  <c r="N2" i="1" s="1" a="1"/>
  <c r="N2" i="1" s="1"/>
  <c r="I2" i="1" a="1"/>
  <c r="I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c r="I18" i="1" a="1"/>
  <c r="I18" i="1" s="1"/>
  <c r="I19" i="1" a="1"/>
  <c r="I19" i="1" s="1"/>
  <c r="I20" i="1" a="1"/>
  <c r="I20" i="1" s="1"/>
  <c r="I22" i="1" a="1"/>
  <c r="I22" i="1" s="1"/>
  <c r="I23" i="1" a="1"/>
  <c r="I23" i="1" s="1"/>
  <c r="I24" i="1" a="1"/>
  <c r="I24" i="1" s="1"/>
  <c r="I25" i="1" a="1"/>
  <c r="I25" i="1" s="1"/>
  <c r="I26" i="1" a="1"/>
  <c r="I26" i="1" s="1"/>
  <c r="I27" i="1" a="1"/>
  <c r="I27" i="1" s="1"/>
  <c r="I28" i="1" a="1"/>
  <c r="I28" i="1" s="1"/>
  <c r="I29" i="1" a="1"/>
  <c r="I29" i="1" s="1"/>
  <c r="I30" i="1" a="1"/>
  <c r="I30" i="1" s="1"/>
  <c r="I32" i="1" a="1"/>
  <c r="I32" i="1" s="1"/>
  <c r="I33" i="1" a="1"/>
  <c r="I33" i="1" s="1"/>
  <c r="I34" i="1" a="1"/>
  <c r="I34" i="1" s="1"/>
  <c r="I35" i="1" a="1"/>
  <c r="I35" i="1" s="1"/>
  <c r="I36" i="1" a="1"/>
  <c r="I36" i="1" s="1"/>
  <c r="I37" i="1" a="1"/>
  <c r="I37" i="1" s="1"/>
  <c r="I38" i="1" a="1"/>
  <c r="I38" i="1" s="1"/>
  <c r="I39" i="1" a="1"/>
  <c r="I39"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9" i="1" a="1"/>
  <c r="I59" i="1" s="1"/>
  <c r="I60" i="1" a="1"/>
  <c r="I60" i="1" s="1"/>
  <c r="I61" i="1" a="1"/>
  <c r="I61" i="1" s="1"/>
  <c r="I62" i="1" a="1"/>
  <c r="I62" i="1" s="1"/>
  <c r="I63" i="1" a="1"/>
  <c r="I63" i="1" s="1"/>
  <c r="I64" i="1" a="1"/>
  <c r="I64" i="1" s="1"/>
  <c r="I65" i="1" a="1"/>
  <c r="I65" i="1" s="1"/>
  <c r="I67" i="1" a="1"/>
  <c r="I67" i="1" s="1"/>
  <c r="I68" i="1" a="1"/>
  <c r="I68" i="1" s="1"/>
  <c r="I69" i="1" a="1"/>
  <c r="I69" i="1" s="1"/>
  <c r="I71" i="1" a="1"/>
  <c r="I71" i="1" s="1"/>
  <c r="I72" i="1" a="1"/>
  <c r="I72" i="1" s="1"/>
  <c r="I76" i="1" a="1"/>
  <c r="I76" i="1" s="1"/>
  <c r="I77" i="1" a="1"/>
  <c r="I77" i="1" s="1"/>
  <c r="I78" i="1" a="1"/>
  <c r="I78" i="1" s="1"/>
  <c r="I79" i="1" a="1"/>
  <c r="I79" i="1" s="1"/>
  <c r="I81" i="1" a="1"/>
  <c r="I81" i="1" s="1"/>
  <c r="I82" i="1" a="1"/>
  <c r="I82" i="1" s="1"/>
  <c r="I83" i="1" a="1"/>
  <c r="I83" i="1" s="1"/>
  <c r="I84" i="1" a="1"/>
  <c r="I84"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8" i="1" a="1"/>
  <c r="I138" i="1" s="1"/>
  <c r="I140" i="1" a="1"/>
  <c r="I140" i="1" s="1"/>
  <c r="I141" i="1" a="1"/>
  <c r="I141" i="1" s="1"/>
  <c r="I143" i="1" a="1"/>
  <c r="I143" i="1" s="1"/>
  <c r="I145" i="1" a="1"/>
  <c r="I145" i="1" s="1"/>
  <c r="I146" i="1" a="1"/>
  <c r="I146" i="1" s="1"/>
  <c r="I147" i="1" a="1"/>
  <c r="I147" i="1" s="1"/>
  <c r="I148" i="1" a="1"/>
  <c r="I148" i="1" s="1"/>
  <c r="I149" i="1" a="1"/>
  <c r="I149" i="1" s="1"/>
  <c r="I150" i="1" a="1"/>
  <c r="I150" i="1" s="1"/>
  <c r="I151" i="1" a="1"/>
  <c r="I151" i="1" s="1"/>
  <c r="H21" i="1" a="1"/>
  <c r="H21" i="1" s="1"/>
  <c r="K2" i="1" a="1"/>
  <c r="K2" i="1" s="1"/>
  <c r="O2" i="1" l="1" a="1"/>
  <c r="O2" i="1" s="1"/>
  <c r="P2" i="1" s="1"/>
  <c r="M3" i="1" l="1"/>
  <c r="N3" i="1" s="1" a="1"/>
  <c r="N3" i="1" s="1"/>
  <c r="M16" i="1"/>
  <c r="N16" i="1" s="1" a="1"/>
  <c r="N16" i="1" s="1"/>
  <c r="M41" i="1"/>
  <c r="N41" i="1" s="1" a="1"/>
  <c r="N41" i="1" s="1"/>
  <c r="M51" i="1"/>
  <c r="N51" i="1" s="1" a="1"/>
  <c r="N51" i="1" s="1"/>
  <c r="M60" i="1"/>
  <c r="N60" i="1" s="1" a="1"/>
  <c r="N60" i="1" s="1"/>
  <c r="M68" i="1"/>
  <c r="N68" i="1" s="1" a="1"/>
  <c r="N68" i="1" s="1"/>
  <c r="M81" i="1"/>
  <c r="N81" i="1" s="1" a="1"/>
  <c r="N81" i="1" s="1"/>
  <c r="M106" i="1"/>
  <c r="N106" i="1" s="1" a="1"/>
  <c r="N106" i="1" s="1"/>
  <c r="M152" i="1"/>
  <c r="N152" i="1" s="1" a="1"/>
  <c r="N152" i="1" s="1"/>
  <c r="M153" i="1"/>
  <c r="N153" i="1" s="1" a="1"/>
  <c r="N153" i="1" s="1"/>
  <c r="M154" i="1"/>
  <c r="N154" i="1" s="1" a="1"/>
  <c r="N154" i="1" s="1"/>
  <c r="M155" i="1"/>
  <c r="N155" i="1" s="1" a="1"/>
  <c r="N155" i="1" s="1"/>
  <c r="M156" i="1"/>
  <c r="N156" i="1" s="1" a="1"/>
  <c r="N156" i="1" s="1"/>
  <c r="M157" i="1"/>
  <c r="N157" i="1" s="1" a="1"/>
  <c r="N157" i="1" s="1"/>
  <c r="M158" i="1"/>
  <c r="N158" i="1" s="1" a="1"/>
  <c r="N158" i="1" s="1"/>
  <c r="O3" i="1" a="1"/>
  <c r="O3" i="1" s="1"/>
  <c r="O4" i="1" a="1"/>
  <c r="O4" i="1" s="1"/>
  <c r="P4" i="1" s="1"/>
  <c r="O5" i="1" a="1"/>
  <c r="O5" i="1" s="1"/>
  <c r="P5" i="1" s="1"/>
  <c r="O6" i="1" a="1"/>
  <c r="O6" i="1" s="1"/>
  <c r="P6" i="1" s="1"/>
  <c r="O7" i="1" a="1"/>
  <c r="O7" i="1" s="1"/>
  <c r="P7" i="1" s="1"/>
  <c r="O8" i="1" a="1"/>
  <c r="O8" i="1" s="1"/>
  <c r="P8" i="1" s="1"/>
  <c r="O9" i="1" a="1"/>
  <c r="O9" i="1" s="1"/>
  <c r="P9" i="1" s="1"/>
  <c r="O10" i="1" a="1"/>
  <c r="O10" i="1" s="1"/>
  <c r="P10" i="1" s="1"/>
  <c r="O11" i="1" a="1"/>
  <c r="O11" i="1" s="1"/>
  <c r="P11" i="1" s="1"/>
  <c r="O12" i="1" a="1"/>
  <c r="O12" i="1" s="1"/>
  <c r="P12" i="1" s="1"/>
  <c r="O13" i="1" a="1"/>
  <c r="O13" i="1" s="1"/>
  <c r="P13" i="1" s="1"/>
  <c r="O14" i="1" a="1"/>
  <c r="O14" i="1" s="1"/>
  <c r="P14" i="1" s="1"/>
  <c r="O15" i="1" a="1"/>
  <c r="O15" i="1" s="1"/>
  <c r="P15" i="1" s="1"/>
  <c r="O16" i="1" a="1"/>
  <c r="O16" i="1" s="1"/>
  <c r="O17" i="1" a="1"/>
  <c r="O17" i="1" s="1"/>
  <c r="P17" i="1" s="1"/>
  <c r="O18" i="1" a="1"/>
  <c r="O18" i="1" s="1"/>
  <c r="P18" i="1" s="1"/>
  <c r="O19" i="1" a="1"/>
  <c r="O19" i="1" s="1"/>
  <c r="P19" i="1" s="1"/>
  <c r="O20" i="1" a="1"/>
  <c r="O20" i="1" s="1"/>
  <c r="P20" i="1" s="1"/>
  <c r="O21" i="1" a="1"/>
  <c r="O21" i="1" s="1"/>
  <c r="O22" i="1" a="1"/>
  <c r="O22" i="1" s="1"/>
  <c r="P22" i="1" s="1"/>
  <c r="O23" i="1" a="1"/>
  <c r="O23" i="1" s="1"/>
  <c r="P23" i="1" s="1"/>
  <c r="O24" i="1" a="1"/>
  <c r="O24" i="1" s="1"/>
  <c r="P24" i="1" s="1"/>
  <c r="O25" i="1" a="1"/>
  <c r="O25" i="1" s="1"/>
  <c r="P25" i="1" s="1"/>
  <c r="O26" i="1" a="1"/>
  <c r="O26" i="1" s="1"/>
  <c r="P26" i="1" s="1"/>
  <c r="O27" i="1" a="1"/>
  <c r="O27" i="1" s="1"/>
  <c r="P27" i="1" s="1"/>
  <c r="O28" i="1" a="1"/>
  <c r="O28" i="1" s="1"/>
  <c r="P28" i="1" s="1"/>
  <c r="O29" i="1" a="1"/>
  <c r="O29" i="1" s="1"/>
  <c r="P29" i="1" s="1"/>
  <c r="O30" i="1" a="1"/>
  <c r="O30" i="1" s="1"/>
  <c r="P30" i="1" s="1"/>
  <c r="O31" i="1" a="1"/>
  <c r="O31" i="1" s="1"/>
  <c r="O32" i="1" a="1"/>
  <c r="O32" i="1" s="1"/>
  <c r="P32" i="1" s="1"/>
  <c r="O33" i="1" a="1"/>
  <c r="O33" i="1" s="1"/>
  <c r="P33" i="1" s="1"/>
  <c r="O34" i="1" a="1"/>
  <c r="O34" i="1" s="1"/>
  <c r="P34" i="1" s="1"/>
  <c r="O35" i="1" a="1"/>
  <c r="O35" i="1" s="1"/>
  <c r="P35" i="1" s="1"/>
  <c r="O36" i="1" a="1"/>
  <c r="O36" i="1" s="1"/>
  <c r="P36" i="1" s="1"/>
  <c r="O37" i="1" a="1"/>
  <c r="O37" i="1" s="1"/>
  <c r="P37" i="1" s="1"/>
  <c r="O38" i="1" a="1"/>
  <c r="O38" i="1" s="1"/>
  <c r="P38" i="1" s="1"/>
  <c r="O39" i="1" a="1"/>
  <c r="O39" i="1" s="1"/>
  <c r="P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P59" i="1" s="1"/>
  <c r="O60" i="1" a="1"/>
  <c r="O60" i="1" s="1"/>
  <c r="O61" i="1" a="1"/>
  <c r="O61" i="1" s="1"/>
  <c r="P61" i="1" s="1"/>
  <c r="O62" i="1" a="1"/>
  <c r="O62" i="1" s="1"/>
  <c r="P62" i="1" s="1"/>
  <c r="O63" i="1" a="1"/>
  <c r="O63" i="1" s="1"/>
  <c r="P63" i="1" s="1"/>
  <c r="O64" i="1" a="1"/>
  <c r="O64" i="1" s="1"/>
  <c r="P64" i="1" s="1"/>
  <c r="O65" i="1" a="1"/>
  <c r="O65" i="1" s="1"/>
  <c r="P65" i="1" s="1"/>
  <c r="O66" i="1" a="1"/>
  <c r="O66" i="1" s="1"/>
  <c r="O67" i="1" a="1"/>
  <c r="O67" i="1" s="1"/>
  <c r="P67" i="1" s="1"/>
  <c r="O68" i="1" a="1"/>
  <c r="O68" i="1" s="1"/>
  <c r="O69" i="1" a="1"/>
  <c r="O69" i="1" s="1"/>
  <c r="P69" i="1" s="1"/>
  <c r="O70" i="1" a="1"/>
  <c r="O70" i="1" s="1"/>
  <c r="O71" i="1" a="1"/>
  <c r="O71" i="1" s="1"/>
  <c r="P71" i="1" s="1"/>
  <c r="O72" i="1" a="1"/>
  <c r="O72" i="1" s="1"/>
  <c r="P72" i="1" s="1"/>
  <c r="O73" i="1" a="1"/>
  <c r="O73" i="1" s="1"/>
  <c r="O74" i="1" a="1"/>
  <c r="O74" i="1" s="1"/>
  <c r="O75" i="1" a="1"/>
  <c r="O75" i="1" s="1"/>
  <c r="O76" i="1" a="1"/>
  <c r="O76" i="1" s="1"/>
  <c r="P76" i="1" s="1"/>
  <c r="O77" i="1" a="1"/>
  <c r="O77" i="1" s="1"/>
  <c r="P77" i="1" s="1"/>
  <c r="O78" i="1" a="1"/>
  <c r="O78" i="1" s="1"/>
  <c r="P78" i="1" s="1"/>
  <c r="O79" i="1" a="1"/>
  <c r="O79" i="1" s="1"/>
  <c r="P79" i="1" s="1"/>
  <c r="O80" i="1" a="1"/>
  <c r="O80" i="1" s="1"/>
  <c r="O81" i="1" a="1"/>
  <c r="O81" i="1" s="1"/>
  <c r="O82" i="1" a="1"/>
  <c r="O82" i="1" s="1"/>
  <c r="P82" i="1" s="1"/>
  <c r="O83" i="1" a="1"/>
  <c r="O83" i="1" s="1"/>
  <c r="P83" i="1" s="1"/>
  <c r="O84" i="1" a="1"/>
  <c r="O84" i="1" s="1"/>
  <c r="P84" i="1" s="1"/>
  <c r="O85" i="1" a="1"/>
  <c r="O85" i="1" s="1"/>
  <c r="O86" i="1" a="1"/>
  <c r="O86" i="1" s="1"/>
  <c r="P86" i="1" s="1"/>
  <c r="O87" i="1" a="1"/>
  <c r="O87" i="1" s="1"/>
  <c r="P87" i="1" s="1"/>
  <c r="O88" i="1" a="1"/>
  <c r="O88" i="1" s="1"/>
  <c r="P88" i="1" s="1"/>
  <c r="O89" i="1" a="1"/>
  <c r="O89" i="1" s="1"/>
  <c r="P89" i="1" s="1"/>
  <c r="O90" i="1" a="1"/>
  <c r="O90" i="1" s="1"/>
  <c r="P90" i="1" s="1"/>
  <c r="O91" i="1" a="1"/>
  <c r="O91" i="1" s="1"/>
  <c r="P91" i="1" s="1"/>
  <c r="O92" i="1" a="1"/>
  <c r="O92" i="1" s="1"/>
  <c r="P92" i="1" s="1"/>
  <c r="O93" i="1" a="1"/>
  <c r="O93" i="1" s="1"/>
  <c r="P93" i="1" s="1"/>
  <c r="O94" i="1" a="1"/>
  <c r="O94" i="1" s="1"/>
  <c r="P94" i="1" s="1"/>
  <c r="O95" i="1" a="1"/>
  <c r="O95" i="1" s="1"/>
  <c r="P95" i="1" s="1"/>
  <c r="O96" i="1" a="1"/>
  <c r="O96" i="1" s="1"/>
  <c r="P96" i="1" s="1"/>
  <c r="O97" i="1" a="1"/>
  <c r="O97" i="1" s="1"/>
  <c r="P97" i="1" s="1"/>
  <c r="O98" i="1" a="1"/>
  <c r="O98" i="1" s="1"/>
  <c r="P98" i="1" s="1"/>
  <c r="O99" i="1" a="1"/>
  <c r="O99" i="1" s="1"/>
  <c r="P99" i="1" s="1"/>
  <c r="O100" i="1" a="1"/>
  <c r="O100" i="1" s="1"/>
  <c r="O101" i="1" a="1"/>
  <c r="O101" i="1" s="1"/>
  <c r="P101" i="1" s="1"/>
  <c r="O102" i="1" a="1"/>
  <c r="O102" i="1" s="1"/>
  <c r="P102" i="1" s="1"/>
  <c r="O103" i="1" a="1"/>
  <c r="O103" i="1" s="1"/>
  <c r="P103" i="1" s="1"/>
  <c r="O104" i="1" a="1"/>
  <c r="O104" i="1" s="1"/>
  <c r="P104" i="1" s="1"/>
  <c r="O105" i="1" a="1"/>
  <c r="O105" i="1" s="1"/>
  <c r="P105" i="1" s="1"/>
  <c r="O106" i="1" a="1"/>
  <c r="O106" i="1" s="1"/>
  <c r="O107" i="1" a="1"/>
  <c r="O107" i="1" s="1"/>
  <c r="P107" i="1" s="1"/>
  <c r="O108" i="1" a="1"/>
  <c r="O108" i="1" s="1"/>
  <c r="P108" i="1" s="1"/>
  <c r="O109" i="1" a="1"/>
  <c r="O109" i="1" s="1"/>
  <c r="P109" i="1" s="1"/>
  <c r="O110" i="1" a="1"/>
  <c r="O110" i="1" s="1"/>
  <c r="P110" i="1" s="1"/>
  <c r="O111" i="1" a="1"/>
  <c r="O111" i="1" s="1"/>
  <c r="P111" i="1" s="1"/>
  <c r="O112" i="1" a="1"/>
  <c r="O112" i="1" s="1"/>
  <c r="P112" i="1" s="1"/>
  <c r="O113" i="1" a="1"/>
  <c r="O113" i="1" s="1"/>
  <c r="P113" i="1" s="1"/>
  <c r="O114" i="1" a="1"/>
  <c r="O114" i="1" s="1"/>
  <c r="P114" i="1" s="1"/>
  <c r="O115" i="1" a="1"/>
  <c r="O115" i="1" s="1"/>
  <c r="P115" i="1" s="1"/>
  <c r="O116" i="1" a="1"/>
  <c r="O116" i="1" s="1"/>
  <c r="P116" i="1" s="1"/>
  <c r="O117" i="1" a="1"/>
  <c r="O117" i="1" s="1"/>
  <c r="P117" i="1" s="1"/>
  <c r="O118" i="1" a="1"/>
  <c r="O118" i="1" s="1"/>
  <c r="P118" i="1" s="1"/>
  <c r="O119" i="1" a="1"/>
  <c r="O119" i="1" s="1"/>
  <c r="P119" i="1" s="1"/>
  <c r="O120" i="1" a="1"/>
  <c r="O120" i="1" s="1"/>
  <c r="O121" i="1" a="1"/>
  <c r="O121" i="1" s="1"/>
  <c r="O122" i="1" a="1"/>
  <c r="O122" i="1" s="1"/>
  <c r="O123" i="1" a="1"/>
  <c r="O123" i="1" s="1"/>
  <c r="P123" i="1" s="1"/>
  <c r="O124" i="1" a="1"/>
  <c r="O124" i="1" s="1"/>
  <c r="P124" i="1" s="1"/>
  <c r="O125" i="1" a="1"/>
  <c r="O125" i="1" s="1"/>
  <c r="P125" i="1" s="1"/>
  <c r="O126" i="1" a="1"/>
  <c r="O126" i="1" s="1"/>
  <c r="P126" i="1" s="1"/>
  <c r="O127" i="1" a="1"/>
  <c r="O127" i="1" s="1"/>
  <c r="P127" i="1" s="1"/>
  <c r="O128" i="1" a="1"/>
  <c r="O128" i="1" s="1"/>
  <c r="P128" i="1" s="1"/>
  <c r="O129" i="1" a="1"/>
  <c r="O129" i="1" s="1"/>
  <c r="P129" i="1" s="1"/>
  <c r="O130" i="1" a="1"/>
  <c r="O130" i="1" s="1"/>
  <c r="P130" i="1" s="1"/>
  <c r="O131" i="1" a="1"/>
  <c r="O131" i="1" s="1"/>
  <c r="P131" i="1" s="1"/>
  <c r="O132" i="1" a="1"/>
  <c r="O132" i="1" s="1"/>
  <c r="P132" i="1" s="1"/>
  <c r="O133" i="1" a="1"/>
  <c r="O133" i="1" s="1"/>
  <c r="P133" i="1" s="1"/>
  <c r="O134" i="1" a="1"/>
  <c r="O134" i="1" s="1"/>
  <c r="P134" i="1" s="1"/>
  <c r="O135" i="1" a="1"/>
  <c r="O135" i="1" s="1"/>
  <c r="P135" i="1" s="1"/>
  <c r="O136" i="1" a="1"/>
  <c r="O136" i="1" s="1"/>
  <c r="P136" i="1" s="1"/>
  <c r="O137" i="1" a="1"/>
  <c r="O137" i="1" s="1"/>
  <c r="O138" i="1" a="1"/>
  <c r="O138" i="1" s="1"/>
  <c r="P138" i="1" s="1"/>
  <c r="O139" i="1" a="1"/>
  <c r="O139" i="1" s="1"/>
  <c r="O140" i="1" a="1"/>
  <c r="O140" i="1" s="1"/>
  <c r="P140" i="1" s="1"/>
  <c r="O141" i="1" a="1"/>
  <c r="O141" i="1" s="1"/>
  <c r="P141" i="1" s="1"/>
  <c r="O142" i="1" a="1"/>
  <c r="O142" i="1" s="1"/>
  <c r="O143" i="1" a="1"/>
  <c r="O143" i="1" s="1"/>
  <c r="P143" i="1" s="1"/>
  <c r="O144" i="1" a="1"/>
  <c r="O144" i="1" s="1"/>
  <c r="O145" i="1" a="1"/>
  <c r="O145" i="1" s="1"/>
  <c r="P145" i="1" s="1"/>
  <c r="O146" i="1" a="1"/>
  <c r="O146" i="1" s="1"/>
  <c r="P146" i="1" s="1"/>
  <c r="O147" i="1" a="1"/>
  <c r="O147" i="1" s="1"/>
  <c r="P147" i="1" s="1"/>
  <c r="O148" i="1" a="1"/>
  <c r="O148" i="1" s="1"/>
  <c r="P148" i="1" s="1"/>
  <c r="O149" i="1" a="1"/>
  <c r="O149" i="1" s="1"/>
  <c r="P149" i="1" s="1"/>
  <c r="O150" i="1" a="1"/>
  <c r="O150" i="1" s="1"/>
  <c r="P150" i="1" s="1"/>
  <c r="O151" i="1" a="1"/>
  <c r="O151" i="1" s="1"/>
  <c r="P151" i="1" s="1"/>
  <c r="O152" i="1" a="1"/>
  <c r="O152" i="1" s="1"/>
  <c r="O153" i="1" a="1"/>
  <c r="O153" i="1" s="1"/>
  <c r="O154" i="1" a="1"/>
  <c r="O154" i="1" s="1"/>
  <c r="O155" i="1" a="1"/>
  <c r="O155" i="1" s="1"/>
  <c r="O156" i="1" a="1"/>
  <c r="O156" i="1" s="1"/>
  <c r="O157" i="1" a="1"/>
  <c r="O157" i="1" s="1"/>
  <c r="O158" i="1" a="1"/>
  <c r="O158"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D152" i="1"/>
  <c r="E152" i="1" s="1"/>
  <c r="D153" i="1"/>
  <c r="E153" i="1" s="1"/>
  <c r="D154" i="1"/>
  <c r="E154" i="1" s="1"/>
  <c r="D155" i="1"/>
  <c r="E155" i="1" s="1"/>
  <c r="D156" i="1"/>
  <c r="E156" i="1" s="1"/>
  <c r="D157" i="1"/>
  <c r="E157" i="1" s="1"/>
  <c r="D158" i="1"/>
  <c r="E158" i="1" s="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114" i="1"/>
  <c r="E114" i="1" s="1"/>
  <c r="D115" i="1"/>
  <c r="E115" i="1" s="1"/>
  <c r="D116" i="1"/>
  <c r="E116" i="1" s="1"/>
  <c r="D117" i="1"/>
  <c r="E117" i="1" s="1"/>
  <c r="D118" i="1"/>
  <c r="E118" i="1" s="1"/>
  <c r="D119" i="1"/>
  <c r="E119" i="1" s="1"/>
  <c r="D120" i="1"/>
  <c r="E120" i="1" s="1"/>
  <c r="D121" i="1"/>
  <c r="E121" i="1" s="1"/>
  <c r="D122" i="1"/>
  <c r="E122" i="1" s="1"/>
  <c r="D123" i="1"/>
  <c r="E123" i="1" s="1"/>
  <c r="D124" i="1"/>
  <c r="E124" i="1" s="1"/>
  <c r="D125" i="1"/>
  <c r="E125" i="1" s="1"/>
  <c r="D126" i="1"/>
  <c r="E126" i="1" s="1"/>
  <c r="D127" i="1"/>
  <c r="E127" i="1" s="1"/>
  <c r="D128" i="1"/>
  <c r="E128" i="1" s="1"/>
  <c r="D129" i="1"/>
  <c r="E129" i="1" s="1"/>
  <c r="D130" i="1"/>
  <c r="E130" i="1" s="1"/>
  <c r="D131" i="1"/>
  <c r="E131" i="1" s="1"/>
  <c r="D132" i="1"/>
  <c r="E132" i="1" s="1"/>
  <c r="D133" i="1"/>
  <c r="E133" i="1" s="1"/>
  <c r="D134" i="1"/>
  <c r="E134" i="1" s="1"/>
  <c r="D135" i="1"/>
  <c r="E135" i="1" s="1"/>
  <c r="D136" i="1"/>
  <c r="E136" i="1" s="1"/>
  <c r="D137" i="1"/>
  <c r="E137" i="1" s="1"/>
  <c r="D138" i="1"/>
  <c r="E138" i="1" s="1"/>
  <c r="D139" i="1"/>
  <c r="E139" i="1" s="1"/>
  <c r="D140" i="1"/>
  <c r="E140" i="1" s="1"/>
  <c r="D141" i="1"/>
  <c r="E141" i="1" s="1"/>
  <c r="D142" i="1"/>
  <c r="E142" i="1" s="1"/>
  <c r="D143" i="1"/>
  <c r="E143" i="1" s="1"/>
  <c r="D144" i="1"/>
  <c r="E144" i="1" s="1"/>
  <c r="D145" i="1"/>
  <c r="E145" i="1" s="1"/>
  <c r="D146" i="1"/>
  <c r="E146" i="1" s="1"/>
  <c r="D147" i="1"/>
  <c r="E147" i="1" s="1"/>
  <c r="D148" i="1"/>
  <c r="E148" i="1" s="1"/>
  <c r="D149" i="1"/>
  <c r="E149" i="1" s="1"/>
  <c r="D150" i="1"/>
  <c r="E150" i="1" s="1"/>
  <c r="D151" i="1"/>
  <c r="E151" i="1" s="1"/>
  <c r="D2" i="1"/>
  <c r="E2" i="1" s="1"/>
  <c r="I157" i="1" l="1" a="1"/>
  <c r="I157" i="1" s="1"/>
  <c r="I40" i="1" a="1"/>
  <c r="I40" i="1" s="1"/>
  <c r="I75" i="1" a="1"/>
  <c r="I75" i="1" s="1"/>
  <c r="I80" i="1" a="1"/>
  <c r="I80" i="1" s="1"/>
  <c r="I120" i="1" a="1"/>
  <c r="I120" i="1" s="1"/>
  <c r="I139" i="1" a="1"/>
  <c r="I139" i="1" s="1"/>
  <c r="I144" i="1" a="1"/>
  <c r="I144" i="1" s="1"/>
  <c r="I152" i="1" a="1"/>
  <c r="I152" i="1" s="1"/>
  <c r="I155" i="1" a="1"/>
  <c r="I155" i="1" s="1"/>
  <c r="I57" i="1" a="1"/>
  <c r="I57" i="1" s="1"/>
  <c r="I70" i="1" a="1"/>
  <c r="I70" i="1" s="1"/>
  <c r="I121" i="1" a="1"/>
  <c r="I121" i="1" s="1"/>
  <c r="I137" i="1" a="1"/>
  <c r="I137" i="1" s="1"/>
  <c r="I153" i="1" a="1"/>
  <c r="I153" i="1" s="1"/>
  <c r="I73" i="1" a="1"/>
  <c r="I73" i="1" s="1"/>
  <c r="I142" i="1" a="1"/>
  <c r="I142" i="1" s="1"/>
  <c r="I158" i="1" a="1"/>
  <c r="I158" i="1" s="1"/>
  <c r="I31" i="1" a="1"/>
  <c r="I31" i="1" s="1"/>
  <c r="I100" i="1" a="1"/>
  <c r="I100" i="1" s="1"/>
  <c r="I156" i="1" a="1"/>
  <c r="I156" i="1" s="1"/>
  <c r="I21" i="1" a="1"/>
  <c r="I21" i="1" s="1"/>
  <c r="I58" i="1" a="1"/>
  <c r="I58" i="1" s="1"/>
  <c r="I66" i="1" a="1"/>
  <c r="I66" i="1" s="1"/>
  <c r="I74" i="1" a="1"/>
  <c r="I74" i="1" s="1"/>
  <c r="I85" i="1" a="1"/>
  <c r="I85" i="1" s="1"/>
  <c r="I122" i="1" a="1"/>
  <c r="I122" i="1" s="1"/>
  <c r="I154" i="1" a="1"/>
  <c r="I154" i="1" s="1"/>
  <c r="P16" i="1"/>
  <c r="P41" i="1"/>
  <c r="P60" i="1"/>
  <c r="P73" i="1"/>
  <c r="P81" i="1"/>
  <c r="P120" i="1"/>
  <c r="P139" i="1"/>
  <c r="P153" i="1"/>
  <c r="P157" i="1"/>
  <c r="P21" i="1"/>
  <c r="P51" i="1"/>
  <c r="P66" i="1"/>
  <c r="P74" i="1"/>
  <c r="P85" i="1"/>
  <c r="P121" i="1"/>
  <c r="P142" i="1"/>
  <c r="P154" i="1"/>
  <c r="P158" i="1"/>
  <c r="P31" i="1"/>
  <c r="P68" i="1"/>
  <c r="P100" i="1"/>
  <c r="P144" i="1"/>
  <c r="P40" i="1"/>
  <c r="P70" i="1"/>
  <c r="P106" i="1"/>
  <c r="P152" i="1"/>
  <c r="P57" i="1"/>
  <c r="P75" i="1"/>
  <c r="P122" i="1"/>
  <c r="P155" i="1"/>
  <c r="P3" i="1"/>
  <c r="P58" i="1"/>
  <c r="P80" i="1"/>
  <c r="P137" i="1"/>
  <c r="P156" i="1"/>
  <c r="P56" i="1"/>
  <c r="P49" i="1"/>
  <c r="P46" i="1"/>
  <c r="P48" i="1"/>
  <c r="P45" i="1"/>
  <c r="P47" i="1"/>
  <c r="P53" i="1"/>
  <c r="P44" i="1"/>
  <c r="P52" i="1"/>
  <c r="P43" i="1"/>
  <c r="P55" i="1"/>
  <c r="P54" i="1"/>
  <c r="P42" i="1"/>
  <c r="P5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<sst xmlns="http://schemas.openxmlformats.org/spreadsheetml/2006/main" count="685" uniqueCount="334">
  <si>
    <t>Emp ID</t>
  </si>
  <si>
    <t>Dept Code</t>
  </si>
  <si>
    <t>Hire Date</t>
  </si>
  <si>
    <t>Salary</t>
  </si>
  <si>
    <t>Perf_Score</t>
  </si>
  <si>
    <t>Employment Status</t>
  </si>
  <si>
    <t>EMP127</t>
  </si>
  <si>
    <t>Brown</t>
  </si>
  <si>
    <t>IT02</t>
  </si>
  <si>
    <t>active</t>
  </si>
  <si>
    <t>EMP046</t>
  </si>
  <si>
    <t>MKT04</t>
  </si>
  <si>
    <t xml:space="preserve"> ACTIVE </t>
  </si>
  <si>
    <t>EMP134</t>
  </si>
  <si>
    <t xml:space="preserve"> IT02 </t>
  </si>
  <si>
    <t>EMP139</t>
  </si>
  <si>
    <t>FIN03</t>
  </si>
  <si>
    <t>EMP112</t>
  </si>
  <si>
    <t>Smith</t>
  </si>
  <si>
    <t>Left</t>
  </si>
  <si>
    <t>EMP030</t>
  </si>
  <si>
    <t>OPS06</t>
  </si>
  <si>
    <t>EMP096</t>
  </si>
  <si>
    <t xml:space="preserve"> OPS06 </t>
  </si>
  <si>
    <t>EMP098</t>
  </si>
  <si>
    <t>EMP095</t>
  </si>
  <si>
    <t>Rodriguez</t>
  </si>
  <si>
    <t>EMP140</t>
  </si>
  <si>
    <t>SAL05</t>
  </si>
  <si>
    <t>Active</t>
  </si>
  <si>
    <t>EMP020</t>
  </si>
  <si>
    <t>sal05</t>
  </si>
  <si>
    <t>EMP057</t>
  </si>
  <si>
    <t>Actv</t>
  </si>
  <si>
    <t>EMP016</t>
  </si>
  <si>
    <t>Williams</t>
  </si>
  <si>
    <t>mkt04</t>
  </si>
  <si>
    <t>EMP070</t>
  </si>
  <si>
    <t>EMP025</t>
  </si>
  <si>
    <t>Jones</t>
  </si>
  <si>
    <t xml:space="preserve"> MKT04 </t>
  </si>
  <si>
    <t>EMP031</t>
  </si>
  <si>
    <t>EMP126</t>
  </si>
  <si>
    <t>EMP109</t>
  </si>
  <si>
    <t>EMP066</t>
  </si>
  <si>
    <t>EMP120</t>
  </si>
  <si>
    <t>EMP019</t>
  </si>
  <si>
    <t>EMP013</t>
  </si>
  <si>
    <t>EMP010</t>
  </si>
  <si>
    <t>EMP032</t>
  </si>
  <si>
    <t xml:space="preserve"> FIN03 </t>
  </si>
  <si>
    <t>EMP082</t>
  </si>
  <si>
    <t>EMP052</t>
  </si>
  <si>
    <t xml:space="preserve"> SAL05 </t>
  </si>
  <si>
    <t>EMP129</t>
  </si>
  <si>
    <t>EMP146</t>
  </si>
  <si>
    <t>it02</t>
  </si>
  <si>
    <t>EMP099</t>
  </si>
  <si>
    <t>fin03</t>
  </si>
  <si>
    <t>EMP015</t>
  </si>
  <si>
    <t>EMP076</t>
  </si>
  <si>
    <t>EMP137</t>
  </si>
  <si>
    <t>EMP056</t>
  </si>
  <si>
    <t>EMP125</t>
  </si>
  <si>
    <t>HR01</t>
  </si>
  <si>
    <t>EMP085</t>
  </si>
  <si>
    <t>EMP106</t>
  </si>
  <si>
    <t>EMP043</t>
  </si>
  <si>
    <t>EMP068</t>
  </si>
  <si>
    <t>EMP128</t>
  </si>
  <si>
    <t>left</t>
  </si>
  <si>
    <t>EMP027</t>
  </si>
  <si>
    <t>EMP136</t>
  </si>
  <si>
    <t>EMP079</t>
  </si>
  <si>
    <t>EMP149</t>
  </si>
  <si>
    <t>Resigned</t>
  </si>
  <si>
    <t>EMP037</t>
  </si>
  <si>
    <t>EMP077</t>
  </si>
  <si>
    <t>EMP023</t>
  </si>
  <si>
    <t>EMP133</t>
  </si>
  <si>
    <t>EMP141</t>
  </si>
  <si>
    <t>EMP012</t>
  </si>
  <si>
    <t>EMP080</t>
  </si>
  <si>
    <t>EMP069</t>
  </si>
  <si>
    <t>EMP150</t>
  </si>
  <si>
    <t>EMP028</t>
  </si>
  <si>
    <t>EMP087</t>
  </si>
  <si>
    <t>EMP119</t>
  </si>
  <si>
    <t>EMP042</t>
  </si>
  <si>
    <t>EMP005</t>
  </si>
  <si>
    <t>EMP033</t>
  </si>
  <si>
    <t>hr01</t>
  </si>
  <si>
    <t>EMP061</t>
  </si>
  <si>
    <t>EMP102</t>
  </si>
  <si>
    <t>EMP067</t>
  </si>
  <si>
    <t>EMP017</t>
  </si>
  <si>
    <t>EMP123</t>
  </si>
  <si>
    <t>EMP011</t>
  </si>
  <si>
    <t>EMP091</t>
  </si>
  <si>
    <t>EMP145</t>
  </si>
  <si>
    <t>EMP001</t>
  </si>
  <si>
    <t>EMP113</t>
  </si>
  <si>
    <t>EMP065</t>
  </si>
  <si>
    <t xml:space="preserve"> HR01 </t>
  </si>
  <si>
    <t>EMP045</t>
  </si>
  <si>
    <t>EMP083</t>
  </si>
  <si>
    <t>EMP029</t>
  </si>
  <si>
    <t>EMP041</t>
  </si>
  <si>
    <t>EMP026</t>
  </si>
  <si>
    <t>EMP024</t>
  </si>
  <si>
    <t>ops06</t>
  </si>
  <si>
    <t>EMP111</t>
  </si>
  <si>
    <t>EMP040</t>
  </si>
  <si>
    <t>EMP086</t>
  </si>
  <si>
    <t>EMP124</t>
  </si>
  <si>
    <t>EMP132</t>
  </si>
  <si>
    <t>EMP048</t>
  </si>
  <si>
    <t>EMP114</t>
  </si>
  <si>
    <t>EMP062</t>
  </si>
  <si>
    <t>EMP074</t>
  </si>
  <si>
    <t>EMP034</t>
  </si>
  <si>
    <t>EMP105</t>
  </si>
  <si>
    <t>EMP118</t>
  </si>
  <si>
    <t>EMP063</t>
  </si>
  <si>
    <t>EMP094</t>
  </si>
  <si>
    <t>EMP097</t>
  </si>
  <si>
    <t>EMP054</t>
  </si>
  <si>
    <t>EMP006</t>
  </si>
  <si>
    <t>EMP110</t>
  </si>
  <si>
    <t>EMP147</t>
  </si>
  <si>
    <t>EMP050</t>
  </si>
  <si>
    <t>EMP036</t>
  </si>
  <si>
    <t>EMP081</t>
  </si>
  <si>
    <t>EMP078</t>
  </si>
  <si>
    <t>EMP035</t>
  </si>
  <si>
    <t>EMP047</t>
  </si>
  <si>
    <t>EMP008</t>
  </si>
  <si>
    <t>EMP044</t>
  </si>
  <si>
    <t>EMP071</t>
  </si>
  <si>
    <t>EMP115</t>
  </si>
  <si>
    <t>EMP092</t>
  </si>
  <si>
    <t>EMP084</t>
  </si>
  <si>
    <t>EMP142</t>
  </si>
  <si>
    <t>EMP143</t>
  </si>
  <si>
    <t>EMP090</t>
  </si>
  <si>
    <t>EMP009</t>
  </si>
  <si>
    <t>EMP014</t>
  </si>
  <si>
    <t>EMP060</t>
  </si>
  <si>
    <t>EMP135</t>
  </si>
  <si>
    <t>EMP004</t>
  </si>
  <si>
    <t>EMP018</t>
  </si>
  <si>
    <t>EMP039</t>
  </si>
  <si>
    <t>EMP073</t>
  </si>
  <si>
    <t>EMP138</t>
  </si>
  <si>
    <t>EMP007</t>
  </si>
  <si>
    <t>EMP144</t>
  </si>
  <si>
    <t>EMP101</t>
  </si>
  <si>
    <t>EMP003</t>
  </si>
  <si>
    <t>EMP121</t>
  </si>
  <si>
    <t>EMP064</t>
  </si>
  <si>
    <t>EMP116</t>
  </si>
  <si>
    <t>EMP055</t>
  </si>
  <si>
    <t>EMP108</t>
  </si>
  <si>
    <t>EMP051</t>
  </si>
  <si>
    <t>EMP059</t>
  </si>
  <si>
    <t>EMP049</t>
  </si>
  <si>
    <t>EMP089</t>
  </si>
  <si>
    <t>EMP022</t>
  </si>
  <si>
    <t>EMP058</t>
  </si>
  <si>
    <t>EMP130</t>
  </si>
  <si>
    <t>EMP038</t>
  </si>
  <si>
    <t>EMP148</t>
  </si>
  <si>
    <t>EMP002</t>
  </si>
  <si>
    <t>EMP053</t>
  </si>
  <si>
    <t>EMP131</t>
  </si>
  <si>
    <t>EMP104</t>
  </si>
  <si>
    <t>EMP100</t>
  </si>
  <si>
    <t>EMP117</t>
  </si>
  <si>
    <t>EMP088</t>
  </si>
  <si>
    <t>EMP075</t>
  </si>
  <si>
    <t>EMP122</t>
  </si>
  <si>
    <t>EMP021</t>
  </si>
  <si>
    <t>EMP072</t>
  </si>
  <si>
    <t>EMP107</t>
  </si>
  <si>
    <t>EMP093</t>
  </si>
  <si>
    <t>EMP103</t>
  </si>
  <si>
    <t xml:space="preserve">Full Name </t>
  </si>
  <si>
    <t>Emily Brown</t>
  </si>
  <si>
    <t>Richard Hernandez</t>
  </si>
  <si>
    <t>Emily Gonzalez</t>
  </si>
  <si>
    <t>John Martinez</t>
  </si>
  <si>
    <t>Thomas Smith</t>
  </si>
  <si>
    <t>Emily Johnson</t>
  </si>
  <si>
    <t>John Wilson</t>
  </si>
  <si>
    <t>Jessica Smith</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</si>
  <si>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</si>
  <si>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</si>
  <si>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</si>
  <si>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</si>
  <si>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</si>
  <si>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</si>
  <si>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</si>
  <si>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</si>
  <si>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</si>
  <si>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</si>
  <si>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</si>
  <si>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</si>
  <si>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</si>
  <si>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</si>
  <si>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</si>
  <si>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Michael Wilson</t>
  </si>
  <si>
    <t>John Rodriguez</t>
  </si>
  <si>
    <t>Thomas Hernandez</t>
  </si>
  <si>
    <t>Michael Johnson</t>
  </si>
  <si>
    <t>Sarah Brown</t>
  </si>
  <si>
    <t>Jane Martinez</t>
  </si>
  <si>
    <t>Emily Jones</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</si>
  <si>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</si>
  <si>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</si>
  <si>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</si>
  <si>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</si>
  <si>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</si>
  <si>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</si>
  <si>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</si>
  <si>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</si>
  <si>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</si>
  <si>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</si>
  <si>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</si>
  <si>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</si>
  <si>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</si>
  <si>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</si>
  <si>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</si>
  <si>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</si>
  <si>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</si>
  <si>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</si>
  <si>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</si>
  <si>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</si>
  <si>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</si>
  <si>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</si>
  <si>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</si>
  <si>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</si>
  <si>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</si>
  <si>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</si>
  <si>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</si>
  <si>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</si>
  <si>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</si>
  <si>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</si>
  <si>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</si>
  <si>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</si>
  <si>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</si>
  <si>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</si>
  <si>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</si>
  <si>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</si>
  <si>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</si>
  <si>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</si>
  <si>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</si>
  <si>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</si>
  <si>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</si>
  <si>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</si>
  <si>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</si>
  <si>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</si>
  <si>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</si>
  <si>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</si>
  <si>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</si>
  <si>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</si>
  <si>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</si>
  <si>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</si>
  <si>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</si>
  <si>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</si>
  <si>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</si>
  <si>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</si>
  <si>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</si>
  <si>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</si>
  <si>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</si>
  <si>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</si>
  <si>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</si>
  <si>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</si>
  <si>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</si>
  <si>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</si>
  <si>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</si>
  <si>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</si>
  <si>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</si>
  <si>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</si>
  <si>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</si>
  <si>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</si>
  <si>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</si>
  <si>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</si>
  <si>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</si>
  <si>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William Rodriguez</t>
  </si>
  <si>
    <t>Melissa Miller</t>
  </si>
  <si>
    <t>Emily Martinez</t>
  </si>
  <si>
    <t xml:space="preserve">Year of Service </t>
  </si>
  <si>
    <t>Dept Cod</t>
  </si>
  <si>
    <t xml:space="preserve">Department Name </t>
  </si>
  <si>
    <t xml:space="preserve">Performance Band </t>
  </si>
  <si>
    <t>Eligible Bonus Amount</t>
  </si>
  <si>
    <t xml:space="preserve">Active </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</si>
  <si>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</si>
  <si>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</si>
  <si>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</si>
  <si>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</si>
  <si>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</si>
  <si>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</si>
  <si>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</si>
  <si>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</si>
  <si>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</si>
  <si>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</si>
  <si>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</si>
  <si>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</si>
  <si>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</si>
  <si>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</si>
  <si>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</si>
  <si>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</si>
  <si>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</si>
  <si>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 xml:space="preserve">Count of Full Name </t>
  </si>
  <si>
    <t>Row Labels</t>
  </si>
  <si>
    <t>Grand Total</t>
  </si>
  <si>
    <t xml:space="preserve">Attrition Rate </t>
  </si>
  <si>
    <t>Count of Emp ID</t>
  </si>
  <si>
    <t xml:space="preserve">Head count &amp; salary by Departments  </t>
  </si>
  <si>
    <t xml:space="preserve">Total Head Count </t>
  </si>
  <si>
    <t>Average of Perf_Score</t>
  </si>
  <si>
    <t>Column Labels</t>
  </si>
  <si>
    <t>Left-Band</t>
  </si>
  <si>
    <t>Left/Resigned Band</t>
  </si>
  <si>
    <t>Bonus Paid</t>
  </si>
  <si>
    <t>Sum of Bonus Paid</t>
  </si>
  <si>
    <t>Bonus Payout</t>
  </si>
  <si>
    <t>Count of Emp ID2</t>
  </si>
  <si>
    <t xml:space="preserve">Performance by status </t>
  </si>
  <si>
    <t xml:space="preserve">Total Bonus paid </t>
  </si>
  <si>
    <t xml:space="preserve">Left </t>
  </si>
  <si>
    <t>Estimated Median Salary</t>
  </si>
  <si>
    <t>Average of Estimated Median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</si>
</sst>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00"/>
    <numFmt numFmtId="166" formatCode="&quot;$&quot;#,##0.0"/>
    <numFmt numFmtId="167" formatCode="&quot;$&quot;#,##0"/>
  </numFmts>
  <fonts count="4" x14ac:knownFonts="1">
    <font>
      <sz val="11"/>
      <color theme="1"/>
      <name val="Aptos Narrow"/>
      <family val="2"/>
      <scheme val="minor"/>
    </font>
    <font>
      <b/>
      <sz val="11"/>
      <color theme="1"/>
      <name val="Aptos Narrow"/>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14" fontId="2" fillId="0" borderId="1" xfId="0" applyNumberFormat="1" applyFont="1" applyBorder="1" applyAlignment="1">
      <alignment horizontal="center" vertical="top"/>
    </xf>
    <xf numFmtId="14" fontId="0" fillId="0" borderId="0" xfId="0" applyNumberFormat="1"/>
    <xf numFmtId="2" fontId="0" fillId="0" borderId="0" xfId="0" applyNumberFormat="1"/>
    <xf numFmtId="164" fontId="0" fillId="0" borderId="0" xfId="0" applyNumberFormat="1"/>
    <xf numFmtId="1" fontId="3" fillId="0" borderId="1" xfId="0" applyNumberFormat="1" applyFont="1" applyBorder="1" applyAlignment="1">
      <alignment horizontal="center" vertical="top"/>
    </xf>
    <xf numFmtId="1" fontId="0" fillId="0" borderId="0" xfId="0" applyNumberFormat="1"/>
    <xf numFmtId="165" fontId="2" fillId="0" borderId="1" xfId="0" applyNumberFormat="1" applyFont="1" applyBorder="1" applyAlignment="1">
      <alignment horizontal="center" vertical="top"/>
    </xf>
    <xf numFmtId="165" fontId="0" fillId="0" borderId="0" xfId="0" applyNumberFormat="1"/>
    <xf numFmtId="0" fontId="3" fillId="0" borderId="1" xfId="0" applyFont="1" applyBorder="1" applyAlignment="1">
      <alignment horizontal="center" vertical="top"/>
    </xf>
    <xf numFmtId="166" fontId="0" fillId="0" borderId="0" xfId="0" applyNumberFormat="1"/>
    <xf numFmtId="167" fontId="2" fillId="0" borderId="1" xfId="0" applyNumberFormat="1" applyFont="1" applyBorder="1" applyAlignment="1">
      <alignment horizontal="center" vertical="top"/>
    </xf>
    <xf numFmtId="167" fontId="0" fillId="0" borderId="0" xfId="0" applyNumberFormat="1"/>
    <xf numFmtId="49" fontId="3" fillId="0" borderId="1" xfId="0" applyNumberFormat="1" applyFont="1" applyBorder="1" applyAlignment="1">
      <alignment horizontal="center" vertical="top"/>
    </xf>
    <xf numFmtId="49" fontId="0" fillId="0" borderId="0" xfId="0" applyNumberFormat="1"/>
    <xf numFmtId="49" fontId="2" fillId="0" borderId="1" xfId="0" applyNumberFormat="1" applyFont="1" applyBorder="1" applyAlignment="1">
      <alignment horizontal="center" vertical="top"/>
    </xf>
    <xf numFmtId="1" fontId="2" fillId="0" borderId="1" xfId="0" applyNumberFormat="1"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left"/>
    </xf>
    <xf numFmtId="10" fontId="0" fillId="0" borderId="0" xfId="0" applyNumberFormat="1"/>
    <xf numFmtId="0" fontId="3" fillId="0" borderId="1" xfId="0" applyNumberFormat="1" applyFont="1" applyBorder="1" applyAlignment="1">
      <alignment horizontal="center" vertical="top"/>
    </xf>
    <xf numFmtId="10" fontId="3" fillId="0" borderId="1" xfId="0" applyNumberFormat="1" applyFont="1" applyBorder="1" applyAlignment="1">
      <alignment horizontal="center" vertical="top"/>
    </xf>
    <xf numFmtId="0" fontId="1" fillId="0" borderId="0" xfId="0" applyFont="1" applyAlignment="1">
      <alignment horizontal="center" vertical="center"/>
    </xf>
    <xf numFmtId="0" fontId="1" fillId="0" borderId="0" xfId="0" applyFont="1" applyAlignment="1">
      <alignment horizontal="center"/>
    </xf>
    <xf numFmtId="167" fontId="3" fillId="0" borderId="1" xfId="0" applyNumberFormat="1" applyFont="1" applyBorder="1" applyAlignment="1">
      <alignment horizontal="center" vertical="top"/>
    </xf>
  </cellXfs>
  <cellStyles count="1">
    <cellStyle name="Normal" xfId="0" builtinId="0"/>
  </cellStyles>
  <dxfs count="32">
    <dxf>
      <numFmt numFmtId="166" formatCode="&quot;$&quot;#,##0.0"/>
    </dxf>
    <dxf>
      <numFmt numFmtId="166" formatCode="&quot;$&quot;#,##0.0"/>
    </dxf>
    <dxf>
      <numFmt numFmtId="166" formatCode="&quot;$&quot;#,##0.0"/>
    </dxf>
    <dxf>
      <numFmt numFmtId="167" formatCode="&quot;$&quot;#,##0"/>
    </dxf>
    <dxf>
      <numFmt numFmtId="167" formatCode="&quot;$&quot;#,##0"/>
    </dxf>
    <dxf>
      <numFmt numFmtId="167" formatCode="&quot;$&quot;#,##0"/>
    </dxf>
    <dxf>
      <numFmt numFmtId="164" formatCode="0.0"/>
    </dxf>
    <dxf>
      <numFmt numFmtId="167" formatCode="&quot;$&quot;#,##0"/>
    </dxf>
    <dxf>
      <numFmt numFmtId="166" formatCode="&quot;$&quot;#,##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numFmt numFmtId="30" formatCode="@"/>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0" formatCode="General"/>
    </dxf>
    <dxf>
      <numFmt numFmtId="0" formatCode="General"/>
    </dxf>
    <dxf>
      <numFmt numFmtId="0" formatCode="General"/>
    </dxf>
    <dxf>
      <numFmt numFmtId="0" formatCode="General"/>
    </dxf>
    <dxf>
      <numFmt numFmtId="167" formatCode="&quot;$&quot;#,##0"/>
    </dxf>
    <dxf>
      <numFmt numFmtId="167" formatCode="&quot;$&quot;#,##0"/>
    </dxf>
    <dxf>
      <numFmt numFmtId="1" formatCode="0"/>
    </dxf>
    <dxf>
      <numFmt numFmtId="19" formatCode="m/d/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2"/>
        </patternFill>
      </fill>
    </dxf>
    <dxf>
      <font>
        <color rgb="FFE5E7EB"/>
      </font>
      <fill>
        <patternFill>
          <bgColor theme="4" tint="-0.24994659260841701"/>
        </patternFill>
      </fill>
    </dxf>
  </dxfs>
  <tableStyles count="5" defaultTableStyle="TableStyleMedium2" defaultPivotStyle="PivotStyleLight16">
    <tableStyle name="Slicer Style 1" pivot="0" table="0" count="1" xr9:uid="{B643E998-56FA-49E8-A836-1998E5DF3B47}">
      <tableStyleElement type="wholeTable" dxfId="31"/>
    </tableStyle>
    <tableStyle name="Slicer Style 2" pivot="0" table="0" count="1" xr9:uid="{4D63EAF3-78EE-4971-8F8F-DD736A4D8C35}">
      <tableStyleElement type="headerRow" dxfId="30"/>
    </tableStyle>
    <tableStyle name="Slicer Style 3" pivot="0" table="0" count="2" xr9:uid="{7D6DDEE7-7D38-4C95-97A6-E8688C6F6695}"/>
    <tableStyle name="Slicer Style 4" pivot="0" table="0" count="1" xr9:uid="{099ED342-82AD-46AD-992A-F0307AA6834E}"/>
    <tableStyle name="Slicer Style 5" pivot="0" table="0" count="2" xr9:uid="{5195EFBA-60A8-470C-89F4-7CAAF288994E}"/>
  </tableStyles>
  <colors>
    <mruColors>
      <color rgb="FFE5E7EB"/>
      <color rgb="FF032F4D"/>
      <color rgb="FF0E2841"/>
      <color rgb="FF2563EB"/>
      <color rgb="FF2C6633"/>
      <color rgb="FFE5FDFF"/>
      <color rgb="FF079181"/>
      <color rgb="FF13913D"/>
      <color rgb="FF209FAC"/>
      <color rgb="FF008080"/>
    </mruColors>
  </colors>
  <extLst>
    <ext xmlns:x14="http://schemas.microsoft.com/office/spreadsheetml/2009/9/main" uri="{46F421CA-312F-682f-3DD2-61675219B42D}">
      <x14:dxfs count="5">
        <dxf>
          <font>
            <color rgb="FFE5E7EB"/>
          </font>
          <fill>
            <patternFill>
              <bgColor theme="2"/>
            </patternFill>
          </fill>
        </dxf>
        <dxf>
          <font>
            <color rgb="FF032F4D"/>
          </font>
          <fill>
            <patternFill>
              <bgColor theme="4" tint="-0.24994659260841701"/>
            </patternFill>
          </fill>
        </dxf>
        <dxf>
          <font>
            <color rgb="FFE5E7EB"/>
          </font>
          <fill>
            <patternFill>
              <bgColor theme="3"/>
            </patternFill>
          </fill>
        </dxf>
        <dxf>
          <fill>
            <patternFill>
              <bgColor theme="4" tint="-0.499984740745262"/>
            </patternFill>
          </fill>
        </dxf>
        <dxf>
          <font>
            <color rgb="FFE5E7EB"/>
          </font>
          <fill>
            <patternFill>
              <bgColor theme="3"/>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4"/>
            <x14:slicerStyleElement type="hoveredSelectedItemWithData" dxfId="3"/>
          </x14:slicerStyleElements>
        </x14:slicerStyle>
        <x14:slicerStyle name="Slicer Style 4">
          <x14:slicerStyleElements>
            <x14:slicerStyleElement type="unselectedItemWithNoData" dxfId="2"/>
          </x14:slicerStyleElements>
        </x14:slicerStyle>
        <x14:slicerStyle name="Slicer Style 5">
          <x14:slicerStyleElements>
            <x14:slicerStyleElement type="unselectedItemWithData" dxfId="1"/>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 -RAHMAN AZEEZAT TAIWO.xlsx]Analysis!HEADCOUNT</c:name>
    <c:fmtId val="3"/>
  </c:pivotSource>
  <c:chart>
    <c:title>
      <c:tx>
        <c:rich>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r>
              <a:rPr lang="en-US">
                <a:solidFill>
                  <a:srgbClr val="E5E7EB"/>
                </a:solidFill>
              </a:rPr>
              <a:t>Head count &amp; salary by Departments  </a:t>
            </a:r>
          </a:p>
        </c:rich>
      </c:tx>
      <c:layout>
        <c:manualLayout>
          <c:xMode val="edge"/>
          <c:yMode val="edge"/>
          <c:x val="0.2477566618914275"/>
          <c:y val="0.11296631816407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1252906498643995E-3"/>
              <c:y val="-0.14510637325472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1670541998191994E-3"/>
              <c:y val="-0.150817126040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1252906498643995E-3"/>
              <c:y val="-0.24808508975807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19169617492996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1252906498644741E-3"/>
              <c:y val="-0.230391526621919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0417635499547248E-3"/>
              <c:y val="-0.26156578209787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4.3897916324028209E-2"/>
              <c:y val="-3.04255298759907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330863924819373E-2"/>
                  <c:h val="6.0781031276191569E-2"/>
                </c:manualLayout>
              </c15:layout>
            </c:ext>
          </c:extLst>
        </c:dLbl>
      </c:pivotFmt>
      <c:pivotFmt>
        <c:idx val="13"/>
        <c:spPr>
          <a:solidFill>
            <a:schemeClr val="accent1"/>
          </a:solidFill>
          <a:ln>
            <a:noFill/>
          </a:ln>
          <a:effectLst/>
        </c:spPr>
        <c:dLbl>
          <c:idx val="0"/>
          <c:layout>
            <c:manualLayout>
              <c:x val="-5.7169299014342666E-2"/>
              <c:y val="-4.6808507501524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7205573274954962E-2"/>
                  <c:h val="7.4823583526648779E-2"/>
                </c:manualLayout>
              </c15:layout>
            </c:ext>
          </c:extLst>
        </c:dLbl>
      </c:pivotFmt>
      <c:pivotFmt>
        <c:idx val="14"/>
        <c:spPr>
          <a:solidFill>
            <a:schemeClr val="accent1"/>
          </a:solidFill>
          <a:ln>
            <a:noFill/>
          </a:ln>
          <a:effectLst/>
        </c:spPr>
        <c:dLbl>
          <c:idx val="0"/>
          <c:layout>
            <c:manualLayout>
              <c:x val="-5.1044008364478304E-2"/>
              <c:y val="-4.91487485911376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9456154574683763E-2"/>
                  <c:h val="0.10758953877771558"/>
                </c:manualLayout>
              </c15:layout>
            </c:ext>
          </c:extLst>
        </c:dLbl>
      </c:pivotFmt>
      <c:pivotFmt>
        <c:idx val="15"/>
        <c:spPr>
          <a:solidFill>
            <a:schemeClr val="accent1"/>
          </a:solidFill>
          <a:ln>
            <a:noFill/>
          </a:ln>
          <a:effectLst/>
        </c:spPr>
        <c:dLbl>
          <c:idx val="0"/>
          <c:layout>
            <c:manualLayout>
              <c:x val="-5.7169299014342742E-2"/>
              <c:y val="-3.74468060012192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3.6996755525180967E-2"/>
                  <c:h val="0.11695124027802042"/>
                </c:manualLayout>
              </c15:layout>
            </c:ext>
          </c:extLst>
        </c:dLbl>
      </c:pivotFmt>
      <c:pivotFmt>
        <c:idx val="16"/>
        <c:spPr>
          <a:solidFill>
            <a:schemeClr val="accent1"/>
          </a:solidFill>
          <a:ln>
            <a:noFill/>
          </a:ln>
          <a:effectLst/>
        </c:spPr>
        <c:dLbl>
          <c:idx val="0"/>
          <c:layout>
            <c:manualLayout>
              <c:x val="-5.9211062564297465E-2"/>
              <c:y val="-3.97872313762955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122046175045364E-2"/>
                  <c:h val="6.0781031276191569E-2"/>
                </c:manualLayout>
              </c15:layout>
            </c:ext>
          </c:extLst>
        </c:dLbl>
      </c:pivotFmt>
      <c:pivotFmt>
        <c:idx val="17"/>
        <c:spPr>
          <a:solidFill>
            <a:schemeClr val="accent1"/>
          </a:solidFill>
          <a:ln>
            <a:noFill/>
          </a:ln>
          <a:effectLst/>
        </c:spPr>
        <c:dLbl>
          <c:idx val="0"/>
          <c:layout>
            <c:manualLayout>
              <c:x val="-5.6148578008148729E-2"/>
              <c:y val="-3.51061963406805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5163809725000163E-2"/>
                  <c:h val="7.9504434276801178E-2"/>
                </c:manualLayout>
              </c15:layout>
            </c:ext>
          </c:extLst>
        </c:dLbl>
      </c:pivotFmt>
      <c:pivotFmt>
        <c:idx val="18"/>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5E7EB"/>
          </a:solidFill>
          <a:ln>
            <a:noFill/>
          </a:ln>
          <a:effectLst/>
        </c:spPr>
        <c:dLbl>
          <c:idx val="0"/>
          <c:layout>
            <c:manualLayout>
              <c:x val="-1.0061789401939691E-3"/>
              <c:y val="-0.240045456295315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1483871996800091E-2"/>
                  <c:h val="8.5369778104358099E-2"/>
                </c:manualLayout>
              </c15:layout>
            </c:ext>
          </c:extLst>
        </c:dLbl>
      </c:pivotFmt>
      <c:pivotFmt>
        <c:idx val="20"/>
        <c:spPr>
          <a:solidFill>
            <a:srgbClr val="E5E7EB"/>
          </a:solidFill>
          <a:ln>
            <a:noFill/>
          </a:ln>
          <a:effectLst/>
        </c:spPr>
        <c:dLbl>
          <c:idx val="0"/>
          <c:layout>
            <c:manualLayout>
              <c:x val="-1.5731083590533632E-2"/>
              <c:y val="-0.26929098719247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5E7EB"/>
          </a:solidFill>
          <a:ln>
            <a:noFill/>
          </a:ln>
          <a:effectLst/>
        </c:spPr>
        <c:dLbl>
          <c:idx val="0"/>
          <c:layout>
            <c:manualLayout>
              <c:x val="-5.8433682831171745E-3"/>
              <c:y val="-0.2594148389650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5E7EB"/>
          </a:solidFill>
          <a:ln>
            <a:noFill/>
          </a:ln>
          <a:effectLst/>
        </c:spPr>
        <c:dLbl>
          <c:idx val="0"/>
          <c:layout>
            <c:manualLayout>
              <c:x val="0"/>
              <c:y val="-0.24195780921453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5E7EB"/>
          </a:solidFill>
          <a:ln>
            <a:noFill/>
          </a:ln>
          <a:effectLst/>
        </c:spPr>
        <c:dLbl>
          <c:idx val="0"/>
          <c:layout>
            <c:manualLayout>
              <c:x val="-1.5582315421645799E-2"/>
              <c:y val="-0.24249786117702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E5E7EB"/>
          </a:solidFill>
          <a:ln>
            <a:noFill/>
          </a:ln>
          <a:effectLst/>
        </c:spPr>
        <c:dLbl>
          <c:idx val="0"/>
          <c:layout>
            <c:manualLayout>
              <c:x val="3.8360715878563456E-3"/>
              <c:y val="-0.247627298744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09842232769729E-2"/>
          <c:y val="0.2708786214857683"/>
          <c:w val="0.67714380751603709"/>
          <c:h val="0.48158472229286498"/>
        </c:manualLayout>
      </c:layout>
      <c:barChart>
        <c:barDir val="col"/>
        <c:grouping val="stacked"/>
        <c:varyColors val="0"/>
        <c:ser>
          <c:idx val="0"/>
          <c:order val="0"/>
          <c:tx>
            <c:strRef>
              <c:f>Analysis!$B$3</c:f>
              <c:strCache>
                <c:ptCount val="1"/>
                <c:pt idx="0">
                  <c:v>Count of Emp ID</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D46-49BC-A947-F3565A9814EB}"/>
              </c:ext>
            </c:extLst>
          </c:dPt>
          <c:dPt>
            <c:idx val="1"/>
            <c:invertIfNegative val="0"/>
            <c:bubble3D val="0"/>
            <c:extLst>
              <c:ext xmlns:c16="http://schemas.microsoft.com/office/drawing/2014/chart" uri="{C3380CC4-5D6E-409C-BE32-E72D297353CC}">
                <c16:uniqueId val="{00000001-ED46-49BC-A947-F3565A9814EB}"/>
              </c:ext>
            </c:extLst>
          </c:dPt>
          <c:dPt>
            <c:idx val="2"/>
            <c:invertIfNegative val="0"/>
            <c:bubble3D val="0"/>
            <c:extLst>
              <c:ext xmlns:c16="http://schemas.microsoft.com/office/drawing/2014/chart" uri="{C3380CC4-5D6E-409C-BE32-E72D297353CC}">
                <c16:uniqueId val="{00000002-ED46-49BC-A947-F3565A9814EB}"/>
              </c:ext>
            </c:extLst>
          </c:dPt>
          <c:dPt>
            <c:idx val="3"/>
            <c:invertIfNegative val="0"/>
            <c:bubble3D val="0"/>
            <c:extLst>
              <c:ext xmlns:c16="http://schemas.microsoft.com/office/drawing/2014/chart" uri="{C3380CC4-5D6E-409C-BE32-E72D297353CC}">
                <c16:uniqueId val="{00000003-ED46-49BC-A947-F3565A9814EB}"/>
              </c:ext>
            </c:extLst>
          </c:dPt>
          <c:dPt>
            <c:idx val="4"/>
            <c:invertIfNegative val="0"/>
            <c:bubble3D val="0"/>
            <c:extLst>
              <c:ext xmlns:c16="http://schemas.microsoft.com/office/drawing/2014/chart" uri="{C3380CC4-5D6E-409C-BE32-E72D297353CC}">
                <c16:uniqueId val="{00000004-ED46-49BC-A947-F3565A9814EB}"/>
              </c:ext>
            </c:extLst>
          </c:dPt>
          <c:dPt>
            <c:idx val="5"/>
            <c:invertIfNegative val="0"/>
            <c:bubble3D val="0"/>
            <c:extLst>
              <c:ext xmlns:c16="http://schemas.microsoft.com/office/drawing/2014/chart" uri="{C3380CC4-5D6E-409C-BE32-E72D297353CC}">
                <c16:uniqueId val="{00000005-ED46-49BC-A947-F3565A9814EB}"/>
              </c:ext>
            </c:extLst>
          </c:dPt>
          <c:dLbls>
            <c:dLbl>
              <c:idx val="0"/>
              <c:layout>
                <c:manualLayout>
                  <c:x val="-4.3897916324028209E-2"/>
                  <c:y val="-3.04255298759907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330863924819373E-2"/>
                      <c:h val="6.0781031276191569E-2"/>
                    </c:manualLayout>
                  </c15:layout>
                </c:ext>
                <c:ext xmlns:c16="http://schemas.microsoft.com/office/drawing/2014/chart" uri="{C3380CC4-5D6E-409C-BE32-E72D297353CC}">
                  <c16:uniqueId val="{00000000-ED46-49BC-A947-F3565A9814EB}"/>
                </c:ext>
              </c:extLst>
            </c:dLbl>
            <c:dLbl>
              <c:idx val="1"/>
              <c:layout>
                <c:manualLayout>
                  <c:x val="-5.7169299014342666E-2"/>
                  <c:y val="-4.6808507501524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7205573274954962E-2"/>
                      <c:h val="7.4823583526648779E-2"/>
                    </c:manualLayout>
                  </c15:layout>
                </c:ext>
                <c:ext xmlns:c16="http://schemas.microsoft.com/office/drawing/2014/chart" uri="{C3380CC4-5D6E-409C-BE32-E72D297353CC}">
                  <c16:uniqueId val="{00000001-ED46-49BC-A947-F3565A9814EB}"/>
                </c:ext>
              </c:extLst>
            </c:dLbl>
            <c:dLbl>
              <c:idx val="2"/>
              <c:layout>
                <c:manualLayout>
                  <c:x val="-5.1044008364478304E-2"/>
                  <c:y val="-4.91487485911376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9456154574683763E-2"/>
                      <c:h val="0.10758953877771558"/>
                    </c:manualLayout>
                  </c15:layout>
                </c:ext>
                <c:ext xmlns:c16="http://schemas.microsoft.com/office/drawing/2014/chart" uri="{C3380CC4-5D6E-409C-BE32-E72D297353CC}">
                  <c16:uniqueId val="{00000002-ED46-49BC-A947-F3565A9814EB}"/>
                </c:ext>
              </c:extLst>
            </c:dLbl>
            <c:dLbl>
              <c:idx val="3"/>
              <c:layout>
                <c:manualLayout>
                  <c:x val="-5.7169299014342742E-2"/>
                  <c:y val="-3.744680600121923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3.6996755525180967E-2"/>
                      <c:h val="0.11695124027802042"/>
                    </c:manualLayout>
                  </c15:layout>
                </c:ext>
                <c:ext xmlns:c16="http://schemas.microsoft.com/office/drawing/2014/chart" uri="{C3380CC4-5D6E-409C-BE32-E72D297353CC}">
                  <c16:uniqueId val="{00000003-ED46-49BC-A947-F3565A9814EB}"/>
                </c:ext>
              </c:extLst>
            </c:dLbl>
            <c:dLbl>
              <c:idx val="4"/>
              <c:layout>
                <c:manualLayout>
                  <c:x val="-5.9211062564297465E-2"/>
                  <c:y val="-3.978723137629552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3122046175045364E-2"/>
                      <c:h val="6.0781031276191569E-2"/>
                    </c:manualLayout>
                  </c15:layout>
                </c:ext>
                <c:ext xmlns:c16="http://schemas.microsoft.com/office/drawing/2014/chart" uri="{C3380CC4-5D6E-409C-BE32-E72D297353CC}">
                  <c16:uniqueId val="{00000004-ED46-49BC-A947-F3565A9814EB}"/>
                </c:ext>
              </c:extLst>
            </c:dLbl>
            <c:dLbl>
              <c:idx val="5"/>
              <c:layout>
                <c:manualLayout>
                  <c:x val="-5.6148578008148729E-2"/>
                  <c:y val="-3.510619634068051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5163809725000163E-2"/>
                      <c:h val="7.9504434276801178E-2"/>
                    </c:manualLayout>
                  </c15:layout>
                </c:ext>
                <c:ext xmlns:c16="http://schemas.microsoft.com/office/drawing/2014/chart" uri="{C3380CC4-5D6E-409C-BE32-E72D297353CC}">
                  <c16:uniqueId val="{00000005-ED46-49BC-A947-F3565A9814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Analysis!$A$4:$A$9</c:f>
              <c:strCache>
                <c:ptCount val="6"/>
                <c:pt idx="0">
                  <c:v>Finance</c:v>
                </c:pt>
                <c:pt idx="1">
                  <c:v>Human Resources</c:v>
                </c:pt>
                <c:pt idx="2">
                  <c:v>Information Technology</c:v>
                </c:pt>
                <c:pt idx="3">
                  <c:v>Marketing</c:v>
                </c:pt>
                <c:pt idx="4">
                  <c:v>Operations</c:v>
                </c:pt>
                <c:pt idx="5">
                  <c:v>Sales</c:v>
                </c:pt>
              </c:strCache>
            </c:strRef>
          </c:cat>
          <c:val>
            <c:numRef>
              <c:f>Analysis!$B$4:$B$9</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E-AB8F-41B8-9383-03FFDDCC0CD2}"/>
            </c:ext>
          </c:extLst>
        </c:ser>
        <c:ser>
          <c:idx val="1"/>
          <c:order val="1"/>
          <c:tx>
            <c:strRef>
              <c:f>Analysis!$C$3</c:f>
              <c:strCache>
                <c:ptCount val="1"/>
                <c:pt idx="0">
                  <c:v>Average of Estimated Median Salary</c:v>
                </c:pt>
              </c:strCache>
            </c:strRef>
          </c:tx>
          <c:spPr>
            <a:solidFill>
              <a:srgbClr val="E5E7EB"/>
            </a:solidFill>
            <a:ln>
              <a:noFill/>
            </a:ln>
            <a:effectLst/>
          </c:spPr>
          <c:invertIfNegative val="0"/>
          <c:dPt>
            <c:idx val="0"/>
            <c:invertIfNegative val="0"/>
            <c:bubble3D val="0"/>
            <c:extLst>
              <c:ext xmlns:c16="http://schemas.microsoft.com/office/drawing/2014/chart" uri="{C3380CC4-5D6E-409C-BE32-E72D297353CC}">
                <c16:uniqueId val="{00000019-AB8F-41B8-9383-03FFDDCC0CD2}"/>
              </c:ext>
            </c:extLst>
          </c:dPt>
          <c:dPt>
            <c:idx val="1"/>
            <c:invertIfNegative val="0"/>
            <c:bubble3D val="0"/>
            <c:extLst>
              <c:ext xmlns:c16="http://schemas.microsoft.com/office/drawing/2014/chart" uri="{C3380CC4-5D6E-409C-BE32-E72D297353CC}">
                <c16:uniqueId val="{00000018-AB8F-41B8-9383-03FFDDCC0CD2}"/>
              </c:ext>
            </c:extLst>
          </c:dPt>
          <c:dPt>
            <c:idx val="2"/>
            <c:invertIfNegative val="0"/>
            <c:bubble3D val="0"/>
            <c:extLst>
              <c:ext xmlns:c16="http://schemas.microsoft.com/office/drawing/2014/chart" uri="{C3380CC4-5D6E-409C-BE32-E72D297353CC}">
                <c16:uniqueId val="{00000017-AB8F-41B8-9383-03FFDDCC0CD2}"/>
              </c:ext>
            </c:extLst>
          </c:dPt>
          <c:dPt>
            <c:idx val="3"/>
            <c:invertIfNegative val="0"/>
            <c:bubble3D val="0"/>
            <c:extLst>
              <c:ext xmlns:c16="http://schemas.microsoft.com/office/drawing/2014/chart" uri="{C3380CC4-5D6E-409C-BE32-E72D297353CC}">
                <c16:uniqueId val="{00000016-AB8F-41B8-9383-03FFDDCC0CD2}"/>
              </c:ext>
            </c:extLst>
          </c:dPt>
          <c:dPt>
            <c:idx val="4"/>
            <c:invertIfNegative val="0"/>
            <c:bubble3D val="0"/>
            <c:extLst>
              <c:ext xmlns:c16="http://schemas.microsoft.com/office/drawing/2014/chart" uri="{C3380CC4-5D6E-409C-BE32-E72D297353CC}">
                <c16:uniqueId val="{00000015-AB8F-41B8-9383-03FFDDCC0CD2}"/>
              </c:ext>
            </c:extLst>
          </c:dPt>
          <c:dPt>
            <c:idx val="5"/>
            <c:invertIfNegative val="0"/>
            <c:bubble3D val="0"/>
            <c:extLst>
              <c:ext xmlns:c16="http://schemas.microsoft.com/office/drawing/2014/chart" uri="{C3380CC4-5D6E-409C-BE32-E72D297353CC}">
                <c16:uniqueId val="{00000014-AB8F-41B8-9383-03FFDDCC0CD2}"/>
              </c:ext>
            </c:extLst>
          </c:dPt>
          <c:dLbls>
            <c:dLbl>
              <c:idx val="0"/>
              <c:layout>
                <c:manualLayout>
                  <c:x val="3.8360715878563456E-3"/>
                  <c:y val="-0.247627298744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B8F-41B8-9383-03FFDDCC0CD2}"/>
                </c:ext>
              </c:extLst>
            </c:dLbl>
            <c:dLbl>
              <c:idx val="1"/>
              <c:layout>
                <c:manualLayout>
                  <c:x val="-1.5582315421645799E-2"/>
                  <c:y val="-0.242497861177027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B8F-41B8-9383-03FFDDCC0CD2}"/>
                </c:ext>
              </c:extLst>
            </c:dLbl>
            <c:dLbl>
              <c:idx val="2"/>
              <c:layout>
                <c:manualLayout>
                  <c:x val="0"/>
                  <c:y val="-0.241957809214537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B8F-41B8-9383-03FFDDCC0CD2}"/>
                </c:ext>
              </c:extLst>
            </c:dLbl>
            <c:dLbl>
              <c:idx val="3"/>
              <c:layout>
                <c:manualLayout>
                  <c:x val="-5.8433682831171745E-3"/>
                  <c:y val="-0.25941483896503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B8F-41B8-9383-03FFDDCC0CD2}"/>
                </c:ext>
              </c:extLst>
            </c:dLbl>
            <c:dLbl>
              <c:idx val="4"/>
              <c:layout>
                <c:manualLayout>
                  <c:x val="-1.5731083590533632E-2"/>
                  <c:y val="-0.269290987192477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B8F-41B8-9383-03FFDDCC0CD2}"/>
                </c:ext>
              </c:extLst>
            </c:dLbl>
            <c:dLbl>
              <c:idx val="5"/>
              <c:layout>
                <c:manualLayout>
                  <c:x val="-1.0061789401939691E-3"/>
                  <c:y val="-0.240045456295315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1483871996800091E-2"/>
                      <c:h val="8.5369778104358099E-2"/>
                    </c:manualLayout>
                  </c15:layout>
                </c:ext>
                <c:ext xmlns:c16="http://schemas.microsoft.com/office/drawing/2014/chart" uri="{C3380CC4-5D6E-409C-BE32-E72D297353CC}">
                  <c16:uniqueId val="{00000014-AB8F-41B8-9383-03FFDDCC0C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Analysis!$A$4:$A$9</c:f>
              <c:strCache>
                <c:ptCount val="6"/>
                <c:pt idx="0">
                  <c:v>Finance</c:v>
                </c:pt>
                <c:pt idx="1">
                  <c:v>Human Resources</c:v>
                </c:pt>
                <c:pt idx="2">
                  <c:v>Information Technology</c:v>
                </c:pt>
                <c:pt idx="3">
                  <c:v>Marketing</c:v>
                </c:pt>
                <c:pt idx="4">
                  <c:v>Operations</c:v>
                </c:pt>
                <c:pt idx="5">
                  <c:v>Sales</c:v>
                </c:pt>
              </c:strCache>
            </c:strRef>
          </c:cat>
          <c:val>
            <c:numRef>
              <c:f>Analysis!$C$4:$C$9</c:f>
              <c:numCache>
                <c:formatCode>"$"#,##0</c:formatCode>
                <c:ptCount val="6"/>
                <c:pt idx="0">
                  <c:v>88858.529411764699</c:v>
                </c:pt>
                <c:pt idx="1">
                  <c:v>85682.277777777781</c:v>
                </c:pt>
                <c:pt idx="2">
                  <c:v>79709.361111111109</c:v>
                </c:pt>
                <c:pt idx="3">
                  <c:v>85512</c:v>
                </c:pt>
                <c:pt idx="4">
                  <c:v>79024</c:v>
                </c:pt>
                <c:pt idx="5">
                  <c:v>85714</c:v>
                </c:pt>
              </c:numCache>
            </c:numRef>
          </c:val>
          <c:extLst>
            <c:ext xmlns:c16="http://schemas.microsoft.com/office/drawing/2014/chart" uri="{C3380CC4-5D6E-409C-BE32-E72D297353CC}">
              <c16:uniqueId val="{00000013-AB8F-41B8-9383-03FFDDCC0CD2}"/>
            </c:ext>
          </c:extLst>
        </c:ser>
        <c:dLbls>
          <c:dLblPos val="ctr"/>
          <c:showLegendKey val="0"/>
          <c:showVal val="1"/>
          <c:showCatName val="0"/>
          <c:showSerName val="0"/>
          <c:showPercent val="0"/>
          <c:showBubbleSize val="0"/>
        </c:dLbls>
        <c:gapWidth val="150"/>
        <c:overlap val="100"/>
        <c:axId val="1191341616"/>
        <c:axId val="1191344016"/>
      </c:barChart>
      <c:catAx>
        <c:axId val="11913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191344016"/>
        <c:crosses val="autoZero"/>
        <c:auto val="1"/>
        <c:lblAlgn val="ctr"/>
        <c:lblOffset val="100"/>
        <c:noMultiLvlLbl val="0"/>
      </c:catAx>
      <c:valAx>
        <c:axId val="119134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191341616"/>
        <c:crosses val="autoZero"/>
        <c:crossBetween val="between"/>
      </c:valAx>
      <c:spPr>
        <a:noFill/>
        <a:ln>
          <a:noFill/>
        </a:ln>
        <a:effectLst/>
      </c:spPr>
    </c:plotArea>
    <c:legend>
      <c:legendPos val="r"/>
      <c:layout>
        <c:manualLayout>
          <c:xMode val="edge"/>
          <c:yMode val="edge"/>
          <c:x val="0.74023942779774643"/>
          <c:y val="0.72739154793972194"/>
          <c:w val="0.25976082639882048"/>
          <c:h val="0.2441805545378373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32F4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 -RAHMAN AZEEZAT TAIWO.xlsx]Analysis!performance</c:name>
    <c:fmtId val="4"/>
  </c:pivotSource>
  <c:chart>
    <c:title>
      <c:tx>
        <c:rich>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r>
              <a:rPr lang="en-US" sz="1400" b="1" i="0" u="none" strike="noStrike" baseline="0">
                <a:effectLst/>
              </a:rPr>
              <a:t>Performance by status </a:t>
            </a:r>
            <a:r>
              <a:rPr lang="en-US" sz="1400" b="0" i="0" u="none" strike="noStrike" baseline="0"/>
              <a:t> </a:t>
            </a:r>
            <a:endParaRPr lang="en-US">
              <a:solidFill>
                <a:srgbClr val="E5E7E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endParaRPr lang="en-US"/>
        </a:p>
      </c:txPr>
    </c:title>
    <c:autoTitleDeleted val="0"/>
    <c:pivotFmts>
      <c:pivotFmt>
        <c:idx val="0"/>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28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2841"/>
          </a:solidFill>
          <a:ln>
            <a:noFill/>
          </a:ln>
          <a:effectLst/>
        </c:spPr>
        <c:dLbl>
          <c:idx val="0"/>
          <c:layout>
            <c:manualLayout>
              <c:x val="-8.3697175323895503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E7EB"/>
          </a:solidFill>
          <a:ln>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E7EB"/>
          </a:solidFill>
          <a:ln>
            <a:noFill/>
          </a:ln>
          <a:effectLst/>
        </c:spPr>
        <c:dLbl>
          <c:idx val="0"/>
          <c:layout>
            <c:manualLayout>
              <c:x val="0"/>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E28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E2841"/>
          </a:solidFill>
          <a:ln>
            <a:noFill/>
          </a:ln>
          <a:effectLst/>
        </c:spPr>
        <c:dLbl>
          <c:idx val="0"/>
          <c:layout>
            <c:manualLayout>
              <c:x val="-8.3697175323895503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E7EB"/>
          </a:solidFill>
          <a:ln>
            <a:noFill/>
          </a:ln>
          <a:effectLst/>
        </c:spPr>
        <c:dLbl>
          <c:idx val="0"/>
          <c:layout>
            <c:manualLayout>
              <c:x val="-3.7960684502449451E-17"/>
              <c:y val="-2.27986281051286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E28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E2841"/>
          </a:solidFill>
          <a:ln>
            <a:noFill/>
          </a:ln>
          <a:effectLst/>
        </c:spPr>
        <c:dLbl>
          <c:idx val="0"/>
          <c:layout>
            <c:manualLayout>
              <c:x val="-4.141213421183578E-3"/>
              <c:y val="6.913283329979748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Analysis!$B$19:$B$20</c:f>
              <c:strCache>
                <c:ptCount val="1"/>
                <c:pt idx="0">
                  <c:v>Active</c:v>
                </c:pt>
              </c:strCache>
            </c:strRef>
          </c:tx>
          <c:spPr>
            <a:solidFill>
              <a:srgbClr val="E5E7EB"/>
            </a:solidFill>
            <a:ln>
              <a:noFill/>
            </a:ln>
            <a:effectLst/>
          </c:spPr>
          <c:invertIfNegative val="0"/>
          <c:dPt>
            <c:idx val="0"/>
            <c:invertIfNegative val="0"/>
            <c:bubble3D val="0"/>
            <c:extLst>
              <c:ext xmlns:c16="http://schemas.microsoft.com/office/drawing/2014/chart" uri="{C3380CC4-5D6E-409C-BE32-E72D297353CC}">
                <c16:uniqueId val="{0000000D-E2E4-422B-8697-2586A2797F72}"/>
              </c:ext>
            </c:extLst>
          </c:dPt>
          <c:dLbls>
            <c:dLbl>
              <c:idx val="0"/>
              <c:layout>
                <c:manualLayout>
                  <c:x val="-3.7960684502449451E-17"/>
                  <c:y val="-2.27986281051286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E4-422B-8697-2586A2797F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c:f>
              <c:strCache>
                <c:ptCount val="1"/>
                <c:pt idx="0">
                  <c:v>Total</c:v>
                </c:pt>
              </c:strCache>
            </c:strRef>
          </c:cat>
          <c:val>
            <c:numRef>
              <c:f>Analysis!$B$21</c:f>
              <c:numCache>
                <c:formatCode>0.0</c:formatCode>
                <c:ptCount val="1"/>
                <c:pt idx="0">
                  <c:v>67.544642857142861</c:v>
                </c:pt>
              </c:numCache>
            </c:numRef>
          </c:val>
          <c:extLst>
            <c:ext xmlns:c16="http://schemas.microsoft.com/office/drawing/2014/chart" uri="{C3380CC4-5D6E-409C-BE32-E72D297353CC}">
              <c16:uniqueId val="{00000006-E2E4-422B-8697-2586A2797F72}"/>
            </c:ext>
          </c:extLst>
        </c:ser>
        <c:ser>
          <c:idx val="1"/>
          <c:order val="1"/>
          <c:tx>
            <c:strRef>
              <c:f>Analysis!$C$19:$C$20</c:f>
              <c:strCache>
                <c:ptCount val="1"/>
                <c:pt idx="0">
                  <c:v>Left</c:v>
                </c:pt>
              </c:strCache>
            </c:strRef>
          </c:tx>
          <c:spPr>
            <a:solidFill>
              <a:srgbClr val="0E2841"/>
            </a:solidFill>
            <a:ln>
              <a:noFill/>
            </a:ln>
            <a:effectLst/>
          </c:spPr>
          <c:invertIfNegative val="0"/>
          <c:dPt>
            <c:idx val="0"/>
            <c:invertIfNegative val="0"/>
            <c:bubble3D val="0"/>
            <c:extLst>
              <c:ext xmlns:c16="http://schemas.microsoft.com/office/drawing/2014/chart" uri="{C3380CC4-5D6E-409C-BE32-E72D297353CC}">
                <c16:uniqueId val="{0000000E-E2E4-422B-8697-2586A2797F72}"/>
              </c:ext>
            </c:extLst>
          </c:dPt>
          <c:dLbls>
            <c:dLbl>
              <c:idx val="0"/>
              <c:layout>
                <c:manualLayout>
                  <c:x val="-4.141213421183578E-3"/>
                  <c:y val="6.9132833299797485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E4-422B-8697-2586A2797F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c:f>
              <c:strCache>
                <c:ptCount val="1"/>
                <c:pt idx="0">
                  <c:v>Total</c:v>
                </c:pt>
              </c:strCache>
            </c:strRef>
          </c:cat>
          <c:val>
            <c:numRef>
              <c:f>Analysis!$C$21</c:f>
              <c:numCache>
                <c:formatCode>0.0</c:formatCode>
                <c:ptCount val="1"/>
                <c:pt idx="0">
                  <c:v>70.066666666666663</c:v>
                </c:pt>
              </c:numCache>
            </c:numRef>
          </c:val>
          <c:extLst>
            <c:ext xmlns:c16="http://schemas.microsoft.com/office/drawing/2014/chart" uri="{C3380CC4-5D6E-409C-BE32-E72D297353CC}">
              <c16:uniqueId val="{0000000C-E2E4-422B-8697-2586A2797F72}"/>
            </c:ext>
          </c:extLst>
        </c:ser>
        <c:dLbls>
          <c:dLblPos val="outEnd"/>
          <c:showLegendKey val="0"/>
          <c:showVal val="1"/>
          <c:showCatName val="0"/>
          <c:showSerName val="0"/>
          <c:showPercent val="0"/>
          <c:showBubbleSize val="0"/>
        </c:dLbls>
        <c:gapWidth val="219"/>
        <c:overlap val="-27"/>
        <c:axId val="1925006928"/>
        <c:axId val="1925017008"/>
      </c:barChart>
      <c:catAx>
        <c:axId val="1925006928"/>
        <c:scaling>
          <c:orientation val="minMax"/>
        </c:scaling>
        <c:delete val="1"/>
        <c:axPos val="b"/>
        <c:numFmt formatCode="General" sourceLinked="1"/>
        <c:majorTickMark val="none"/>
        <c:minorTickMark val="none"/>
        <c:tickLblPos val="nextTo"/>
        <c:crossAx val="1925017008"/>
        <c:crosses val="autoZero"/>
        <c:auto val="1"/>
        <c:lblAlgn val="ctr"/>
        <c:lblOffset val="100"/>
        <c:noMultiLvlLbl val="0"/>
      </c:catAx>
      <c:valAx>
        <c:axId val="1925017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92500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32F4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 -RAHMAN AZEEZAT TAIWO.xlsx]Analysis!bonus payout</c:name>
    <c:fmtId val="10"/>
  </c:pivotSource>
  <c:chart>
    <c:title>
      <c:tx>
        <c:rich>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r>
              <a:rPr lang="en-US" sz="1400" b="1" i="0" u="none" strike="noStrike" baseline="0">
                <a:solidFill>
                  <a:srgbClr val="E5E7EB"/>
                </a:solidFill>
                <a:effectLst/>
              </a:rPr>
              <a:t>Bonus Payout</a:t>
            </a:r>
            <a:r>
              <a:rPr lang="en-US">
                <a:solidFill>
                  <a:srgbClr val="E5E7EB"/>
                </a:solidFill>
              </a:rPr>
              <a:t>l</a:t>
            </a:r>
          </a:p>
        </c:rich>
      </c:tx>
      <c:layout>
        <c:manualLayout>
          <c:xMode val="edge"/>
          <c:yMode val="edge"/>
          <c:x val="0.3967707786526684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E5E7EB"/>
              </a:solidFill>
              <a:latin typeface="+mn-lt"/>
              <a:ea typeface="+mn-ea"/>
              <a:cs typeface="+mn-cs"/>
            </a:defRPr>
          </a:pPr>
          <a:endParaRPr lang="en-US"/>
        </a:p>
      </c:txPr>
    </c:title>
    <c:autoTitleDeleted val="0"/>
    <c:pivotFmts>
      <c:pivotFmt>
        <c:idx val="0"/>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5E7EB"/>
          </a:solidFill>
          <a:ln>
            <a:noFill/>
          </a:ln>
          <a:effectLst/>
        </c:spPr>
        <c:dLbl>
          <c:idx val="0"/>
          <c:layout>
            <c:manualLayout>
              <c:x val="0.230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5E7EB"/>
          </a:solidFill>
          <a:ln>
            <a:noFill/>
          </a:ln>
          <a:effectLst/>
        </c:spPr>
        <c:dLbl>
          <c:idx val="0"/>
          <c:layout>
            <c:manualLayout>
              <c:x val="0.25"/>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E7EB"/>
          </a:solidFill>
          <a:ln>
            <a:noFill/>
          </a:ln>
          <a:effectLst/>
        </c:spPr>
        <c:dLbl>
          <c:idx val="0"/>
          <c:layout>
            <c:manualLayout>
              <c:x val="0.3583333333333333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5E7EB"/>
          </a:solidFill>
          <a:ln>
            <a:noFill/>
          </a:ln>
          <a:effectLst/>
        </c:spPr>
        <c:dLbl>
          <c:idx val="0"/>
          <c:layout>
            <c:manualLayout>
              <c:x val="0.2861111111111110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5E7EB"/>
          </a:solidFill>
          <a:ln>
            <a:noFill/>
          </a:ln>
          <a:effectLst/>
        </c:spPr>
        <c:dLbl>
          <c:idx val="0"/>
          <c:layout>
            <c:manualLayout>
              <c:x val="0.28611111111111109"/>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5E7EB"/>
          </a:solidFill>
          <a:ln>
            <a:noFill/>
          </a:ln>
          <a:effectLst/>
        </c:spPr>
        <c:dLbl>
          <c:idx val="0"/>
          <c:layout>
            <c:manualLayout>
              <c:x val="0.3583333333333333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5E7EB"/>
          </a:solidFill>
          <a:ln>
            <a:noFill/>
          </a:ln>
          <a:effectLst/>
        </c:spPr>
        <c:dLbl>
          <c:idx val="0"/>
          <c:layout>
            <c:manualLayout>
              <c:x val="0.25"/>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5E7EB"/>
          </a:solidFill>
          <a:ln>
            <a:noFill/>
          </a:ln>
          <a:effectLst/>
        </c:spPr>
        <c:dLbl>
          <c:idx val="0"/>
          <c:layout>
            <c:manualLayout>
              <c:x val="0.230555555555555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5E7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9219021117822147"/>
              <c:y val="-9.259444041902651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35833333333333334"/>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30471124244210768"/>
              <c:y val="4.8855109484569005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24474001009979321"/>
              <c:y val="9.5035276996573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45592668794590452"/>
              <c:y val="9.74799513674825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19100858549157995"/>
              <c:y val="-4.79285796233341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32607895599103837"/>
              <c:y val="-9.22503194258107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43644713788775391"/>
              <c:y val="8.8643840402588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37149732727430906"/>
              <c:y val="-4.61251597129053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39512810292207101"/>
              <c:y val="-9.5858614400202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8777989235094819E-2"/>
                  <c:h val="6.450621745361515E-2"/>
                </c:manualLayout>
              </c15:layout>
            </c:ext>
          </c:extLst>
        </c:dLbl>
      </c:pivotFmt>
    </c:pivotFmts>
    <c:plotArea>
      <c:layout>
        <c:manualLayout>
          <c:layoutTarget val="inner"/>
          <c:xMode val="edge"/>
          <c:yMode val="edge"/>
          <c:x val="0.30234558180227472"/>
          <c:y val="0.17532188684747738"/>
          <c:w val="0.57051071741032366"/>
          <c:h val="0.62968613298337706"/>
        </c:manualLayout>
      </c:layout>
      <c:barChart>
        <c:barDir val="bar"/>
        <c:grouping val="stacked"/>
        <c:varyColors val="0"/>
        <c:ser>
          <c:idx val="0"/>
          <c:order val="0"/>
          <c:tx>
            <c:strRef>
              <c:f>Analysis!$I$4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B-61FA-4DC9-A025-200F9AE17922}"/>
              </c:ext>
            </c:extLst>
          </c:dPt>
          <c:dPt>
            <c:idx val="1"/>
            <c:invertIfNegative val="0"/>
            <c:bubble3D val="0"/>
            <c:extLst>
              <c:ext xmlns:c16="http://schemas.microsoft.com/office/drawing/2014/chart" uri="{C3380CC4-5D6E-409C-BE32-E72D297353CC}">
                <c16:uniqueId val="{0000000A-61FA-4DC9-A025-200F9AE17922}"/>
              </c:ext>
            </c:extLst>
          </c:dPt>
          <c:dPt>
            <c:idx val="2"/>
            <c:invertIfNegative val="0"/>
            <c:bubble3D val="0"/>
            <c:extLst>
              <c:ext xmlns:c16="http://schemas.microsoft.com/office/drawing/2014/chart" uri="{C3380CC4-5D6E-409C-BE32-E72D297353CC}">
                <c16:uniqueId val="{00000009-61FA-4DC9-A025-200F9AE17922}"/>
              </c:ext>
            </c:extLst>
          </c:dPt>
          <c:dPt>
            <c:idx val="3"/>
            <c:invertIfNegative val="0"/>
            <c:bubble3D val="0"/>
            <c:extLst>
              <c:ext xmlns:c16="http://schemas.microsoft.com/office/drawing/2014/chart" uri="{C3380CC4-5D6E-409C-BE32-E72D297353CC}">
                <c16:uniqueId val="{0000000C-61FA-4DC9-A025-200F9AE17922}"/>
              </c:ext>
            </c:extLst>
          </c:dPt>
          <c:dPt>
            <c:idx val="4"/>
            <c:invertIfNegative val="0"/>
            <c:bubble3D val="0"/>
            <c:extLst>
              <c:ext xmlns:c16="http://schemas.microsoft.com/office/drawing/2014/chart" uri="{C3380CC4-5D6E-409C-BE32-E72D297353CC}">
                <c16:uniqueId val="{00000008-61FA-4DC9-A025-200F9AE17922}"/>
              </c:ext>
            </c:extLst>
          </c:dPt>
          <c:dLbls>
            <c:dLbl>
              <c:idx val="0"/>
              <c:layout>
                <c:manualLayout>
                  <c:x val="0.37149732727430906"/>
                  <c:y val="-4.612515971290538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FA-4DC9-A025-200F9AE17922}"/>
                </c:ext>
              </c:extLst>
            </c:dLbl>
            <c:dLbl>
              <c:idx val="1"/>
              <c:layout>
                <c:manualLayout>
                  <c:x val="0.43644713788775391"/>
                  <c:y val="8.8643840402588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1FA-4DC9-A025-200F9AE17922}"/>
                </c:ext>
              </c:extLst>
            </c:dLbl>
            <c:dLbl>
              <c:idx val="2"/>
              <c:layout>
                <c:manualLayout>
                  <c:x val="0.32607895599103837"/>
                  <c:y val="-9.225031942581077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FA-4DC9-A025-200F9AE17922}"/>
                </c:ext>
              </c:extLst>
            </c:dLbl>
            <c:dLbl>
              <c:idx val="3"/>
              <c:layout>
                <c:manualLayout>
                  <c:x val="0.39512810292207101"/>
                  <c:y val="-9.585861440020222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4.8777989235094819E-2"/>
                      <c:h val="6.450621745361515E-2"/>
                    </c:manualLayout>
                  </c15:layout>
                </c:ext>
                <c:ext xmlns:c16="http://schemas.microsoft.com/office/drawing/2014/chart" uri="{C3380CC4-5D6E-409C-BE32-E72D297353CC}">
                  <c16:uniqueId val="{0000000C-61FA-4DC9-A025-200F9AE17922}"/>
                </c:ext>
              </c:extLst>
            </c:dLbl>
            <c:dLbl>
              <c:idx val="4"/>
              <c:layout>
                <c:manualLayout>
                  <c:x val="0.19100858549157995"/>
                  <c:y val="-4.792857962333419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1FA-4DC9-A025-200F9AE179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5E7EB"/>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Analysis!$H$5:$H$10</c:f>
              <c:strCache>
                <c:ptCount val="5"/>
                <c:pt idx="0">
                  <c:v>Achieving</c:v>
                </c:pt>
                <c:pt idx="1">
                  <c:v>Developing</c:v>
                </c:pt>
                <c:pt idx="2">
                  <c:v>Exceeding</c:v>
                </c:pt>
                <c:pt idx="3">
                  <c:v>Needs Improvement</c:v>
                </c:pt>
                <c:pt idx="4">
                  <c:v>Outstanding</c:v>
                </c:pt>
              </c:strCache>
            </c:strRef>
          </c:cat>
          <c:val>
            <c:numRef>
              <c:f>Analysis!$I$5:$I$10</c:f>
              <c:numCache>
                <c:formatCode>"$"#,##0</c:formatCode>
                <c:ptCount val="5"/>
                <c:pt idx="0">
                  <c:v>144315.95000000001</c:v>
                </c:pt>
                <c:pt idx="1">
                  <c:v>58138.3</c:v>
                </c:pt>
                <c:pt idx="2">
                  <c:v>131312.80000000002</c:v>
                </c:pt>
                <c:pt idx="3">
                  <c:v>0</c:v>
                </c:pt>
                <c:pt idx="4">
                  <c:v>82379.040000000008</c:v>
                </c:pt>
              </c:numCache>
            </c:numRef>
          </c:val>
          <c:extLst>
            <c:ext xmlns:c16="http://schemas.microsoft.com/office/drawing/2014/chart" uri="{C3380CC4-5D6E-409C-BE32-E72D297353CC}">
              <c16:uniqueId val="{00000006-61FA-4DC9-A025-200F9AE17922}"/>
            </c:ext>
          </c:extLst>
        </c:ser>
        <c:dLbls>
          <c:dLblPos val="ctr"/>
          <c:showLegendKey val="0"/>
          <c:showVal val="1"/>
          <c:showCatName val="0"/>
          <c:showSerName val="0"/>
          <c:showPercent val="0"/>
          <c:showBubbleSize val="0"/>
        </c:dLbls>
        <c:gapWidth val="150"/>
        <c:overlap val="100"/>
        <c:axId val="1882120016"/>
        <c:axId val="1882141616"/>
      </c:barChart>
      <c:catAx>
        <c:axId val="188212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882141616"/>
        <c:crosses val="autoZero"/>
        <c:auto val="1"/>
        <c:lblAlgn val="ctr"/>
        <c:lblOffset val="100"/>
        <c:noMultiLvlLbl val="0"/>
      </c:catAx>
      <c:valAx>
        <c:axId val="18821416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5E7EB"/>
                </a:solidFill>
                <a:latin typeface="+mn-lt"/>
                <a:ea typeface="+mn-ea"/>
                <a:cs typeface="+mn-cs"/>
              </a:defRPr>
            </a:pPr>
            <a:endParaRPr lang="en-US"/>
          </a:p>
        </c:txPr>
        <c:crossAx val="188212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32F4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Analysis!A1"/><Relationship Id="rId1" Type="http://schemas.openxmlformats.org/officeDocument/2006/relationships/hyperlink" Target="#'Raw-Employee-Data'!A1"/><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215900</xdr:colOff>
      <xdr:row>34</xdr:row>
      <xdr:rowOff>144810</xdr:rowOff>
    </xdr:to>
    <xdr:sp macro="" textlink="">
      <xdr:nvSpPr>
        <xdr:cNvPr id="2" name="Rectangle 1">
          <a:extLst>
            <a:ext uri="{FF2B5EF4-FFF2-40B4-BE49-F238E27FC236}">
              <a16:creationId xmlns:a16="http://schemas.microsoft.com/office/drawing/2014/main" id="{EE143E9F-9814-F341-4663-79355065E61E}"/>
            </a:ext>
          </a:extLst>
        </xdr:cNvPr>
        <xdr:cNvSpPr/>
      </xdr:nvSpPr>
      <xdr:spPr>
        <a:xfrm>
          <a:off x="0" y="0"/>
          <a:ext cx="13017500" cy="6621810"/>
        </a:xfrm>
        <a:prstGeom prst="rect">
          <a:avLst/>
        </a:prstGeom>
        <a:solidFill>
          <a:srgbClr val="E5E7E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i="1"/>
            <a:t>v</a:t>
          </a:r>
          <a:r>
            <a:rPr lang="en-US" sz="1100" b="1" i="0" u="none" strike="noStrike">
              <a:solidFill>
                <a:schemeClr val="lt1"/>
              </a:solidFill>
              <a:effectLst/>
              <a:latin typeface="+mn-lt"/>
              <a:ea typeface="+mn-ea"/>
              <a:cs typeface="+mn-cs"/>
            </a:rPr>
            <a:t>Bonus Payout</a:t>
          </a:r>
          <a:r>
            <a:rPr lang="en-US"/>
            <a:t> </a:t>
          </a:r>
          <a:endParaRPr lang="en-US" sz="1100" i="1"/>
        </a:p>
      </xdr:txBody>
    </xdr:sp>
    <xdr:clientData/>
  </xdr:twoCellAnchor>
  <xdr:twoCellAnchor>
    <xdr:from>
      <xdr:col>2</xdr:col>
      <xdr:colOff>292100</xdr:colOff>
      <xdr:row>0</xdr:row>
      <xdr:rowOff>0</xdr:rowOff>
    </xdr:from>
    <xdr:to>
      <xdr:col>18</xdr:col>
      <xdr:colOff>522714</xdr:colOff>
      <xdr:row>2</xdr:row>
      <xdr:rowOff>164713</xdr:rowOff>
    </xdr:to>
    <xdr:sp macro="" textlink="">
      <xdr:nvSpPr>
        <xdr:cNvPr id="3" name="Rectangle: Rounded Corners 2">
          <a:extLst>
            <a:ext uri="{FF2B5EF4-FFF2-40B4-BE49-F238E27FC236}">
              <a16:creationId xmlns:a16="http://schemas.microsoft.com/office/drawing/2014/main" id="{FB99FB83-E8FD-728E-458D-D1E20BC244FD}"/>
            </a:ext>
          </a:extLst>
        </xdr:cNvPr>
        <xdr:cNvSpPr/>
      </xdr:nvSpPr>
      <xdr:spPr>
        <a:xfrm>
          <a:off x="1511300" y="0"/>
          <a:ext cx="9984214" cy="545713"/>
        </a:xfrm>
        <a:prstGeom prst="roundRect">
          <a:avLst/>
        </a:prstGeom>
        <a:solidFill>
          <a:schemeClr val="tx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rgbClr val="E5E7EB"/>
              </a:solidFill>
            </a:rPr>
            <a:t>HR ANALYTIC DASHBOARD </a:t>
          </a:r>
        </a:p>
      </xdr:txBody>
    </xdr:sp>
    <xdr:clientData/>
  </xdr:twoCellAnchor>
  <xdr:twoCellAnchor>
    <xdr:from>
      <xdr:col>0</xdr:col>
      <xdr:colOff>0</xdr:colOff>
      <xdr:row>0</xdr:row>
      <xdr:rowOff>0</xdr:rowOff>
    </xdr:from>
    <xdr:to>
      <xdr:col>2</xdr:col>
      <xdr:colOff>185853</xdr:colOff>
      <xdr:row>34</xdr:row>
      <xdr:rowOff>104543</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333F732C-8ECD-50D1-F82D-B2B318382C69}"/>
            </a:ext>
          </a:extLst>
        </xdr:cNvPr>
        <xdr:cNvSpPr/>
      </xdr:nvSpPr>
      <xdr:spPr>
        <a:xfrm>
          <a:off x="0" y="0"/>
          <a:ext cx="1393902" cy="6423567"/>
        </a:xfrm>
        <a:prstGeom prst="rect">
          <a:avLst/>
        </a:prstGeom>
        <a:solidFill>
          <a:srgbClr val="0E28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E5E7EB"/>
            </a:solidFill>
          </a:endParaRPr>
        </a:p>
      </xdr:txBody>
    </xdr:sp>
    <xdr:clientData/>
  </xdr:twoCellAnchor>
  <xdr:twoCellAnchor>
    <xdr:from>
      <xdr:col>2</xdr:col>
      <xdr:colOff>352425</xdr:colOff>
      <xdr:row>3</xdr:row>
      <xdr:rowOff>19050</xdr:rowOff>
    </xdr:from>
    <xdr:to>
      <xdr:col>5</xdr:col>
      <xdr:colOff>19050</xdr:colOff>
      <xdr:row>6</xdr:row>
      <xdr:rowOff>104775</xdr:rowOff>
    </xdr:to>
    <xdr:sp macro="" textlink="">
      <xdr:nvSpPr>
        <xdr:cNvPr id="7" name="Rectangle: Rounded Corners 6">
          <a:extLst>
            <a:ext uri="{FF2B5EF4-FFF2-40B4-BE49-F238E27FC236}">
              <a16:creationId xmlns:a16="http://schemas.microsoft.com/office/drawing/2014/main" id="{52CB407E-2CDC-5B80-A6C5-2A80F1E86EE4}"/>
            </a:ext>
          </a:extLst>
        </xdr:cNvPr>
        <xdr:cNvSpPr/>
      </xdr:nvSpPr>
      <xdr:spPr>
        <a:xfrm>
          <a:off x="1571625" y="590550"/>
          <a:ext cx="1495425" cy="657225"/>
        </a:xfrm>
        <a:prstGeom prst="roundRect">
          <a:avLst/>
        </a:prstGeom>
        <a:solidFill>
          <a:srgbClr val="0E28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E5E7EB"/>
              </a:solidFill>
            </a:rPr>
            <a:t>Total</a:t>
          </a:r>
          <a:r>
            <a:rPr lang="en-US" sz="1100" baseline="0">
              <a:solidFill>
                <a:srgbClr val="E5E7EB"/>
              </a:solidFill>
            </a:rPr>
            <a:t> Head Count</a:t>
          </a:r>
          <a:br>
            <a:rPr lang="en-US" sz="1100">
              <a:solidFill>
                <a:srgbClr val="E5E7EB"/>
              </a:solidFill>
            </a:rPr>
          </a:br>
          <a:r>
            <a:rPr lang="en-US" sz="1100" b="1">
              <a:solidFill>
                <a:srgbClr val="E5E7EB"/>
              </a:solidFill>
            </a:rPr>
            <a:t>= </a:t>
          </a:r>
          <a:r>
            <a:rPr lang="en-US" sz="1100" b="1" i="0" u="none" strike="noStrike">
              <a:solidFill>
                <a:srgbClr val="E5E7EB"/>
              </a:solidFill>
              <a:effectLst/>
              <a:latin typeface="+mn-lt"/>
              <a:ea typeface="+mn-ea"/>
              <a:cs typeface="+mn-cs"/>
            </a:rPr>
            <a:t>150</a:t>
          </a:r>
          <a:r>
            <a:rPr lang="en-US" b="1">
              <a:solidFill>
                <a:srgbClr val="E5E7EB"/>
              </a:solidFill>
            </a:rPr>
            <a:t> </a:t>
          </a:r>
          <a:endParaRPr lang="en-US" sz="1100" b="1">
            <a:solidFill>
              <a:srgbClr val="E5E7EB"/>
            </a:solidFill>
          </a:endParaRPr>
        </a:p>
      </xdr:txBody>
    </xdr:sp>
    <xdr:clientData/>
  </xdr:twoCellAnchor>
  <xdr:twoCellAnchor>
    <xdr:from>
      <xdr:col>5</xdr:col>
      <xdr:colOff>381000</xdr:colOff>
      <xdr:row>3</xdr:row>
      <xdr:rowOff>57151</xdr:rowOff>
    </xdr:from>
    <xdr:to>
      <xdr:col>8</xdr:col>
      <xdr:colOff>85725</xdr:colOff>
      <xdr:row>6</xdr:row>
      <xdr:rowOff>95251</xdr:rowOff>
    </xdr:to>
    <xdr:sp macro="" textlink="">
      <xdr:nvSpPr>
        <xdr:cNvPr id="8" name="Rectangle: Rounded Corners 7">
          <a:extLst>
            <a:ext uri="{FF2B5EF4-FFF2-40B4-BE49-F238E27FC236}">
              <a16:creationId xmlns:a16="http://schemas.microsoft.com/office/drawing/2014/main" id="{E332034A-F6B4-044A-184A-609CC9B8C581}"/>
            </a:ext>
          </a:extLst>
        </xdr:cNvPr>
        <xdr:cNvSpPr/>
      </xdr:nvSpPr>
      <xdr:spPr>
        <a:xfrm>
          <a:off x="3429000" y="628651"/>
          <a:ext cx="1533525" cy="609600"/>
        </a:xfrm>
        <a:prstGeom prst="roundRect">
          <a:avLst/>
        </a:prstGeom>
        <a:solidFill>
          <a:srgbClr val="0E28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E5E7EB"/>
              </a:solidFill>
            </a:rPr>
            <a:t>Sum of Bonus</a:t>
          </a:r>
          <a:r>
            <a:rPr lang="en-US" sz="1100" baseline="0">
              <a:solidFill>
                <a:srgbClr val="E5E7EB"/>
              </a:solidFill>
            </a:rPr>
            <a:t> Paid </a:t>
          </a:r>
        </a:p>
        <a:p>
          <a:pPr algn="ctr"/>
          <a:r>
            <a:rPr lang="en-US" sz="1100" b="1" baseline="0">
              <a:solidFill>
                <a:srgbClr val="E5E7EB"/>
              </a:solidFill>
            </a:rPr>
            <a:t>= </a:t>
          </a:r>
          <a:r>
            <a:rPr lang="en-US" sz="1100" b="0" i="0" u="none" strike="noStrike">
              <a:solidFill>
                <a:schemeClr val="lt1"/>
              </a:solidFill>
              <a:effectLst/>
              <a:latin typeface="+mn-lt"/>
              <a:ea typeface="+mn-ea"/>
              <a:cs typeface="+mn-cs"/>
            </a:rPr>
            <a:t>$416,146</a:t>
          </a:r>
          <a:r>
            <a:rPr lang="en-US"/>
            <a:t> </a:t>
          </a:r>
          <a:r>
            <a:rPr lang="en-US" b="1">
              <a:solidFill>
                <a:srgbClr val="E5E7EB"/>
              </a:solidFill>
            </a:rPr>
            <a:t> </a:t>
          </a:r>
          <a:endParaRPr lang="en-US" sz="1100" b="1">
            <a:solidFill>
              <a:srgbClr val="E5E7EB"/>
            </a:solidFill>
          </a:endParaRPr>
        </a:p>
      </xdr:txBody>
    </xdr:sp>
    <xdr:clientData/>
  </xdr:twoCellAnchor>
  <xdr:twoCellAnchor>
    <xdr:from>
      <xdr:col>8</xdr:col>
      <xdr:colOff>600076</xdr:colOff>
      <xdr:row>3</xdr:row>
      <xdr:rowOff>47625</xdr:rowOff>
    </xdr:from>
    <xdr:to>
      <xdr:col>11</xdr:col>
      <xdr:colOff>200025</xdr:colOff>
      <xdr:row>6</xdr:row>
      <xdr:rowOff>95251</xdr:rowOff>
    </xdr:to>
    <xdr:sp macro="" textlink="">
      <xdr:nvSpPr>
        <xdr:cNvPr id="9" name="Rectangle: Rounded Corners 8">
          <a:extLst>
            <a:ext uri="{FF2B5EF4-FFF2-40B4-BE49-F238E27FC236}">
              <a16:creationId xmlns:a16="http://schemas.microsoft.com/office/drawing/2014/main" id="{C9DDB779-1AB7-90E3-9BAE-DA3EB6C74AC3}"/>
            </a:ext>
          </a:extLst>
        </xdr:cNvPr>
        <xdr:cNvSpPr/>
      </xdr:nvSpPr>
      <xdr:spPr>
        <a:xfrm>
          <a:off x="5476876" y="619125"/>
          <a:ext cx="1428749" cy="619126"/>
        </a:xfrm>
        <a:prstGeom prst="roundRect">
          <a:avLst/>
        </a:prstGeom>
        <a:solidFill>
          <a:srgbClr val="0E28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solidFill>
                <a:srgbClr val="E5E7EB"/>
              </a:solidFill>
            </a:rPr>
            <a:t>Overall Attrition Rate </a:t>
          </a:r>
        </a:p>
        <a:p>
          <a:pPr algn="ctr"/>
          <a:r>
            <a:rPr lang="en-US" sz="1100" baseline="0">
              <a:solidFill>
                <a:srgbClr val="E5E7EB"/>
              </a:solidFill>
            </a:rPr>
            <a:t>= </a:t>
          </a:r>
          <a:r>
            <a:rPr lang="en-US" sz="1100" b="1" i="0" u="none" strike="noStrike">
              <a:solidFill>
                <a:srgbClr val="E5E7EB"/>
              </a:solidFill>
              <a:effectLst/>
              <a:latin typeface="+mn-lt"/>
              <a:ea typeface="+mn-ea"/>
              <a:cs typeface="+mn-cs"/>
            </a:rPr>
            <a:t>20.67%</a:t>
          </a:r>
          <a:r>
            <a:rPr lang="en-US">
              <a:solidFill>
                <a:srgbClr val="E5E7EB"/>
              </a:solidFill>
            </a:rPr>
            <a:t> </a:t>
          </a:r>
          <a:endParaRPr lang="en-US" sz="1100" baseline="0">
            <a:solidFill>
              <a:srgbClr val="E5E7EB"/>
            </a:solidFill>
          </a:endParaRPr>
        </a:p>
        <a:p>
          <a:pPr algn="ctr"/>
          <a:endParaRPr lang="en-US" sz="1100"/>
        </a:p>
      </xdr:txBody>
    </xdr:sp>
    <xdr:clientData/>
  </xdr:twoCellAnchor>
  <xdr:twoCellAnchor>
    <xdr:from>
      <xdr:col>12</xdr:col>
      <xdr:colOff>195655</xdr:colOff>
      <xdr:row>3</xdr:row>
      <xdr:rowOff>45275</xdr:rowOff>
    </xdr:from>
    <xdr:to>
      <xdr:col>14</xdr:col>
      <xdr:colOff>471879</xdr:colOff>
      <xdr:row>6</xdr:row>
      <xdr:rowOff>130999</xdr:rowOff>
    </xdr:to>
    <xdr:sp macro="" textlink="">
      <xdr:nvSpPr>
        <xdr:cNvPr id="10" name="Rectangle: Rounded Corners 9">
          <a:extLst>
            <a:ext uri="{FF2B5EF4-FFF2-40B4-BE49-F238E27FC236}">
              <a16:creationId xmlns:a16="http://schemas.microsoft.com/office/drawing/2014/main" id="{FE17F639-B06E-7EB3-8E95-FBD88427B189}"/>
            </a:ext>
          </a:extLst>
        </xdr:cNvPr>
        <xdr:cNvSpPr/>
      </xdr:nvSpPr>
      <xdr:spPr>
        <a:xfrm>
          <a:off x="7517999" y="625705"/>
          <a:ext cx="1496614" cy="666153"/>
        </a:xfrm>
        <a:prstGeom prst="roundRect">
          <a:avLst/>
        </a:prstGeom>
        <a:solidFill>
          <a:srgbClr val="0E28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solidFill>
                <a:srgbClr val="E5E7EB"/>
              </a:solidFill>
            </a:rPr>
            <a:t>Average Salary </a:t>
          </a:r>
        </a:p>
        <a:p>
          <a:pPr algn="ctr"/>
          <a:r>
            <a:rPr lang="en-US" sz="1100" b="1" baseline="0">
              <a:solidFill>
                <a:srgbClr val="E5E7EB"/>
              </a:solidFill>
            </a:rPr>
            <a:t>= </a:t>
          </a:r>
          <a:r>
            <a:rPr lang="en-US" sz="1100" b="0" i="0" u="none" strike="noStrike">
              <a:solidFill>
                <a:schemeClr val="lt1"/>
              </a:solidFill>
              <a:effectLst/>
              <a:latin typeface="+mn-lt"/>
              <a:ea typeface="+mn-ea"/>
              <a:cs typeface="+mn-cs"/>
            </a:rPr>
            <a:t>$83,306.5</a:t>
          </a:r>
          <a:r>
            <a:rPr lang="en-US"/>
            <a:t> </a:t>
          </a:r>
          <a:endParaRPr lang="en-US" sz="1100" b="1" baseline="0">
            <a:solidFill>
              <a:srgbClr val="E5E7EB"/>
            </a:solidFill>
          </a:endParaRPr>
        </a:p>
        <a:p>
          <a:pPr algn="ctr"/>
          <a:endParaRPr lang="en-US" sz="1100"/>
        </a:p>
      </xdr:txBody>
    </xdr:sp>
    <xdr:clientData/>
  </xdr:twoCellAnchor>
  <xdr:twoCellAnchor>
    <xdr:from>
      <xdr:col>0</xdr:col>
      <xdr:colOff>0</xdr:colOff>
      <xdr:row>10</xdr:row>
      <xdr:rowOff>144731</xdr:rowOff>
    </xdr:from>
    <xdr:to>
      <xdr:col>2</xdr:col>
      <xdr:colOff>28574</xdr:colOff>
      <xdr:row>14</xdr:row>
      <xdr:rowOff>87580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05D4E1B6-5C99-94E0-DA50-75640741E269}"/>
            </a:ext>
          </a:extLst>
        </xdr:cNvPr>
        <xdr:cNvSpPr/>
      </xdr:nvSpPr>
      <xdr:spPr>
        <a:xfrm>
          <a:off x="0" y="2000250"/>
          <a:ext cx="1240847" cy="685057"/>
        </a:xfrm>
        <a:prstGeom prst="roundRect">
          <a:avLst/>
        </a:prstGeom>
        <a:solidFill>
          <a:srgbClr val="032F4D"/>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E5E7EB"/>
            </a:solidFill>
          </a:endParaRPr>
        </a:p>
        <a:p>
          <a:pPr algn="ctr"/>
          <a:r>
            <a:rPr lang="en-US" sz="1100">
              <a:solidFill>
                <a:srgbClr val="E5E7EB"/>
              </a:solidFill>
            </a:rPr>
            <a:t>DATASET</a:t>
          </a:r>
        </a:p>
      </xdr:txBody>
    </xdr:sp>
    <xdr:clientData/>
  </xdr:twoCellAnchor>
  <xdr:twoCellAnchor>
    <xdr:from>
      <xdr:col>0</xdr:col>
      <xdr:colOff>0</xdr:colOff>
      <xdr:row>13</xdr:row>
      <xdr:rowOff>47625</xdr:rowOff>
    </xdr:from>
    <xdr:to>
      <xdr:col>0</xdr:col>
      <xdr:colOff>0</xdr:colOff>
      <xdr:row>16</xdr:row>
      <xdr:rowOff>95251</xdr:rowOff>
    </xdr:to>
    <xdr:sp macro="" textlink="">
      <xdr:nvSpPr>
        <xdr:cNvPr id="13" name="Rectangle: Rounded Corners 12">
          <a:extLst>
            <a:ext uri="{FF2B5EF4-FFF2-40B4-BE49-F238E27FC236}">
              <a16:creationId xmlns:a16="http://schemas.microsoft.com/office/drawing/2014/main" id="{27710CA1-C768-7FB8-E05E-B9CDF39FF2E0}"/>
            </a:ext>
          </a:extLst>
        </xdr:cNvPr>
        <xdr:cNvSpPr/>
      </xdr:nvSpPr>
      <xdr:spPr>
        <a:xfrm>
          <a:off x="0" y="2524125"/>
          <a:ext cx="0" cy="619126"/>
        </a:xfrm>
        <a:prstGeom prst="roundRect">
          <a:avLst/>
        </a:prstGeom>
        <a:solidFill>
          <a:srgbClr val="209F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t>Overall Attrition Rate </a:t>
          </a:r>
        </a:p>
        <a:p>
          <a:pPr algn="ctr"/>
          <a:r>
            <a:rPr lang="en-US" sz="1100" baseline="0"/>
            <a:t>=</a:t>
          </a:r>
          <a:r>
            <a:rPr lang="en-US" sz="1100" b="1" i="0" u="none" strike="noStrike">
              <a:solidFill>
                <a:schemeClr val="lt1"/>
              </a:solidFill>
              <a:effectLst/>
              <a:latin typeface="+mn-lt"/>
              <a:ea typeface="+mn-ea"/>
              <a:cs typeface="+mn-cs"/>
            </a:rPr>
            <a:t>20.67%</a:t>
          </a:r>
          <a:r>
            <a:rPr lang="en-US"/>
            <a:t> </a:t>
          </a:r>
          <a:endParaRPr lang="en-US" sz="1100" baseline="0"/>
        </a:p>
        <a:p>
          <a:pPr algn="ctr"/>
          <a:endParaRPr lang="en-US" sz="1100"/>
        </a:p>
      </xdr:txBody>
    </xdr:sp>
    <xdr:clientData/>
  </xdr:twoCellAnchor>
  <xdr:twoCellAnchor>
    <xdr:from>
      <xdr:col>0</xdr:col>
      <xdr:colOff>37110</xdr:colOff>
      <xdr:row>18</xdr:row>
      <xdr:rowOff>139370</xdr:rowOff>
    </xdr:from>
    <xdr:to>
      <xdr:col>2</xdr:col>
      <xdr:colOff>65684</xdr:colOff>
      <xdr:row>22</xdr:row>
      <xdr:rowOff>10968</xdr:rowOff>
    </xdr:to>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C77C2483-DC2C-9CD0-C835-6D2B4240D05A}"/>
            </a:ext>
          </a:extLst>
        </xdr:cNvPr>
        <xdr:cNvSpPr/>
      </xdr:nvSpPr>
      <xdr:spPr>
        <a:xfrm>
          <a:off x="37110" y="3479305"/>
          <a:ext cx="1240847" cy="613806"/>
        </a:xfrm>
        <a:prstGeom prst="roundRect">
          <a:avLst/>
        </a:prstGeom>
        <a:solidFill>
          <a:srgbClr val="032F4D"/>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a:solidFill>
                <a:srgbClr val="E5E7EB"/>
              </a:solidFill>
            </a:rPr>
            <a:t>ANALYSIS</a:t>
          </a:r>
          <a:r>
            <a:rPr lang="en-US" sz="1100" baseline="0">
              <a:solidFill>
                <a:srgbClr val="2563EB"/>
              </a:solidFill>
            </a:rPr>
            <a:t> </a:t>
          </a:r>
          <a:endParaRPr lang="en-US" sz="1100">
            <a:solidFill>
              <a:srgbClr val="2563EB"/>
            </a:solidFill>
          </a:endParaRPr>
        </a:p>
      </xdr:txBody>
    </xdr:sp>
    <xdr:clientData/>
  </xdr:twoCellAnchor>
  <xdr:twoCellAnchor>
    <xdr:from>
      <xdr:col>2</xdr:col>
      <xdr:colOff>245340</xdr:colOff>
      <xdr:row>6</xdr:row>
      <xdr:rowOff>144319</xdr:rowOff>
    </xdr:from>
    <xdr:to>
      <xdr:col>12</xdr:col>
      <xdr:colOff>602317</xdr:colOff>
      <xdr:row>20</xdr:row>
      <xdr:rowOff>74415</xdr:rowOff>
    </xdr:to>
    <xdr:graphicFrame macro="">
      <xdr:nvGraphicFramePr>
        <xdr:cNvPr id="4" name="Chart 3">
          <a:extLst>
            <a:ext uri="{FF2B5EF4-FFF2-40B4-BE49-F238E27FC236}">
              <a16:creationId xmlns:a16="http://schemas.microsoft.com/office/drawing/2014/main" id="{010361C9-24CF-44A8-BF9A-3AD171C90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74414</xdr:colOff>
      <xdr:row>12</xdr:row>
      <xdr:rowOff>163710</xdr:rowOff>
    </xdr:from>
    <xdr:to>
      <xdr:col>18</xdr:col>
      <xdr:colOff>59530</xdr:colOff>
      <xdr:row>34</xdr:row>
      <xdr:rowOff>123825</xdr:rowOff>
    </xdr:to>
    <xdr:graphicFrame macro="">
      <xdr:nvGraphicFramePr>
        <xdr:cNvPr id="18" name="Chart 17">
          <a:extLst>
            <a:ext uri="{FF2B5EF4-FFF2-40B4-BE49-F238E27FC236}">
              <a16:creationId xmlns:a16="http://schemas.microsoft.com/office/drawing/2014/main" id="{2BCEC23E-5530-4817-ADF8-9B77A7ACA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154739</xdr:colOff>
      <xdr:row>6</xdr:row>
      <xdr:rowOff>37770</xdr:rowOff>
    </xdr:from>
    <xdr:to>
      <xdr:col>21</xdr:col>
      <xdr:colOff>150426</xdr:colOff>
      <xdr:row>15</xdr:row>
      <xdr:rowOff>80721</xdr:rowOff>
    </xdr:to>
    <mc:AlternateContent xmlns:mc="http://schemas.openxmlformats.org/markup-compatibility/2006" xmlns:a14="http://schemas.microsoft.com/office/drawing/2010/main">
      <mc:Choice Requires="a14">
        <xdr:graphicFrame macro="">
          <xdr:nvGraphicFramePr>
            <xdr:cNvPr id="26" name="Department Name  1">
              <a:extLst>
                <a:ext uri="{FF2B5EF4-FFF2-40B4-BE49-F238E27FC236}">
                  <a16:creationId xmlns:a16="http://schemas.microsoft.com/office/drawing/2014/main" id="{BD40D676-0297-40DA-9972-0B538E2FADB1}"/>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1216029" y="1143899"/>
              <a:ext cx="1839236" cy="1702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219316</xdr:colOff>
      <xdr:row>16</xdr:row>
      <xdr:rowOff>71886</xdr:rowOff>
    </xdr:from>
    <xdr:to>
      <xdr:col>21</xdr:col>
      <xdr:colOff>215003</xdr:colOff>
      <xdr:row>26</xdr:row>
      <xdr:rowOff>53915</xdr:rowOff>
    </xdr:to>
    <mc:AlternateContent xmlns:mc="http://schemas.openxmlformats.org/markup-compatibility/2006" xmlns:a14="http://schemas.microsoft.com/office/drawing/2010/main">
      <mc:Choice Requires="a14">
        <xdr:graphicFrame macro="">
          <xdr:nvGraphicFramePr>
            <xdr:cNvPr id="27" name="Performance Band  1">
              <a:extLst>
                <a:ext uri="{FF2B5EF4-FFF2-40B4-BE49-F238E27FC236}">
                  <a16:creationId xmlns:a16="http://schemas.microsoft.com/office/drawing/2014/main" id="{4865EE1D-45BF-4862-9112-28AD0BD38C11}"/>
                </a:ext>
              </a:extLst>
            </xdr:cNvPr>
            <xdr:cNvGraphicFramePr/>
          </xdr:nvGraphicFramePr>
          <xdr:xfrm>
            <a:off x="0" y="0"/>
            <a:ext cx="0" cy="0"/>
          </xdr:xfrm>
          <a:graphic>
            <a:graphicData uri="http://schemas.microsoft.com/office/drawing/2010/slicer">
              <sle:slicer xmlns:sle="http://schemas.microsoft.com/office/drawing/2010/slicer" name="Performance Band  1"/>
            </a:graphicData>
          </a:graphic>
        </xdr:graphicFrame>
      </mc:Choice>
      <mc:Fallback xmlns="">
        <xdr:sp macro="" textlink="">
          <xdr:nvSpPr>
            <xdr:cNvPr id="0" name=""/>
            <xdr:cNvSpPr>
              <a:spLocks noTextEdit="1"/>
            </xdr:cNvSpPr>
          </xdr:nvSpPr>
          <xdr:spPr>
            <a:xfrm>
              <a:off x="11280606" y="3021563"/>
              <a:ext cx="1839236" cy="1825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239232</xdr:colOff>
      <xdr:row>20</xdr:row>
      <xdr:rowOff>128134</xdr:rowOff>
    </xdr:from>
    <xdr:to>
      <xdr:col>13</xdr:col>
      <xdr:colOff>0</xdr:colOff>
      <xdr:row>34</xdr:row>
      <xdr:rowOff>136071</xdr:rowOff>
    </xdr:to>
    <xdr:graphicFrame macro="">
      <xdr:nvGraphicFramePr>
        <xdr:cNvPr id="29" name="Chart 28">
          <a:extLst>
            <a:ext uri="{FF2B5EF4-FFF2-40B4-BE49-F238E27FC236}">
              <a16:creationId xmlns:a16="http://schemas.microsoft.com/office/drawing/2014/main" id="{82ACBB75-12AA-4E89-9A10-281C4292C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24741</xdr:colOff>
      <xdr:row>6</xdr:row>
      <xdr:rowOff>37110</xdr:rowOff>
    </xdr:from>
    <xdr:to>
      <xdr:col>18</xdr:col>
      <xdr:colOff>35131</xdr:colOff>
      <xdr:row>12</xdr:row>
      <xdr:rowOff>515</xdr:rowOff>
    </xdr:to>
    <mc:AlternateContent xmlns:mc="http://schemas.openxmlformats.org/markup-compatibility/2006" xmlns:a14="http://schemas.microsoft.com/office/drawing/2010/main">
      <mc:Choice Requires="a14">
        <xdr:graphicFrame macro="">
          <xdr:nvGraphicFramePr>
            <xdr:cNvPr id="30" name="Left-Band 1">
              <a:extLst>
                <a:ext uri="{FF2B5EF4-FFF2-40B4-BE49-F238E27FC236}">
                  <a16:creationId xmlns:a16="http://schemas.microsoft.com/office/drawing/2014/main" id="{0D8ECAC6-8540-4591-A619-76C662092217}"/>
                </a:ext>
              </a:extLst>
            </xdr:cNvPr>
            <xdr:cNvGraphicFramePr/>
          </xdr:nvGraphicFramePr>
          <xdr:xfrm>
            <a:off x="0" y="0"/>
            <a:ext cx="0" cy="0"/>
          </xdr:xfrm>
          <a:graphic>
            <a:graphicData uri="http://schemas.microsoft.com/office/drawing/2010/slicer">
              <sle:slicer xmlns:sle="http://schemas.microsoft.com/office/drawing/2010/slicer" name="Left-Band 1"/>
            </a:graphicData>
          </a:graphic>
        </xdr:graphicFrame>
      </mc:Choice>
      <mc:Fallback xmlns="">
        <xdr:sp macro="" textlink="">
          <xdr:nvSpPr>
            <xdr:cNvPr id="0" name=""/>
            <xdr:cNvSpPr>
              <a:spLocks noTextEdit="1"/>
            </xdr:cNvSpPr>
          </xdr:nvSpPr>
          <xdr:spPr>
            <a:xfrm>
              <a:off x="9242483" y="1143239"/>
              <a:ext cx="1853938" cy="1069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08.604327430556" createdVersion="8" refreshedVersion="8" minRefreshableVersion="3" recordCount="157" xr:uid="{9D2C19EB-4E65-4A91-865A-DA7A322FED7F}">
  <cacheSource type="worksheet">
    <worksheetSource name="RAW"/>
  </cacheSource>
  <cacheFields count="16">
    <cacheField name="Emp ID" numFmtId="0">
      <sharedItems containsBlank="1"/>
    </cacheField>
    <cacheField name="Full Name " numFmtId="0">
      <sharedItems containsBlank="1"/>
    </cacheField>
    <cacheField name="Dept Cod" numFmtId="0">
      <sharedItems containsBlank="1"/>
    </cacheField>
    <cacheField name="Dept Code" numFmtId="0">
      <sharedItems/>
    </cacheField>
    <cacheField name="Department Name " numFmtId="0">
      <sharedItems count="7">
        <s v="Information Technology"/>
        <s v="Marketing"/>
        <s v="Finance"/>
        <s v="Operations"/>
        <s v="Sales"/>
        <s v="Human Resources"/>
        <e v="#N/A"/>
      </sharedItems>
    </cacheField>
    <cacheField name="Hire Date" numFmtId="14">
      <sharedItems containsNonDate="0" containsDate="1" containsString="0" containsBlank="1" minDate="2015-01-04T00:00:00" maxDate="2023-12-13T00:00:00"/>
    </cacheField>
    <cacheField name="Year of Service " numFmtId="1">
      <sharedItems containsSemiMixedTypes="0" containsString="0" containsNumber="1" containsInteger="1" minValue="2" maxValue="126"/>
    </cacheField>
    <cacheField name="Salary" numFmtId="167">
      <sharedItems containsBlank="1" containsMixedTypes="1" containsNumber="1" containsInteger="1" minValue="45196" maxValue="118947"/>
    </cacheField>
    <cacheField name="Estimated Median Salary" numFmtId="167">
      <sharedItems containsMixedTypes="1" containsNumber="1" containsInteger="1" minValue="45196" maxValue="118947"/>
    </cacheField>
    <cacheField name="Perf_Score" numFmtId="0">
      <sharedItems containsString="0" containsBlank="1" containsNumber="1" containsInteger="1" minValue="30" maxValue="99"/>
    </cacheField>
    <cacheField name="Performance Band " numFmtId="0">
      <sharedItems count="5">
        <s v="Developing"/>
        <s v="Needs Improvement"/>
        <s v="Achieving"/>
        <s v="Exceeding"/>
        <s v="Outstanding"/>
      </sharedItems>
    </cacheField>
    <cacheField name="Employment Status" numFmtId="0">
      <sharedItems containsBlank="1"/>
    </cacheField>
    <cacheField name="Left/Resigned Band" numFmtId="0">
      <sharedItems containsSemiMixedTypes="0" containsString="0" containsNumber="1" containsInteger="1" minValue="0" maxValue="1"/>
    </cacheField>
    <cacheField name="Left-Band" numFmtId="0">
      <sharedItems count="2">
        <s v="Active"/>
        <s v="Left"/>
      </sharedItems>
    </cacheField>
    <cacheField name="Eligible Bonus Amount" numFmtId="0">
      <sharedItems/>
    </cacheField>
    <cacheField name="Bonus Paid" numFmtId="0">
      <sharedItems containsSemiMixedTypes="0" containsString="0" containsNumber="1" minValue="0" maxValue="14273.64"/>
    </cacheField>
  </cacheFields>
  <extLst>
    <ext xmlns:x14="http://schemas.microsoft.com/office/spreadsheetml/2009/9/main" uri="{725AE2AE-9491-48be-B2B4-4EB974FC3084}">
      <x14:pivotCacheDefinition pivotCacheId="20508357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08.717350925923" createdVersion="8" refreshedVersion="8" minRefreshableVersion="3" recordCount="150" xr:uid="{EA7D90D7-5440-4336-85CA-E532953BAEE3}">
  <cacheSource type="worksheet">
    <worksheetSource ref="A1:P151" sheet="Raw-Employee-Data"/>
  </cacheSource>
  <cacheFields count="16">
    <cacheField name="Emp ID" numFmtId="0">
      <sharedItems/>
    </cacheField>
    <cacheField name="Full Name " numFmtId="0">
      <sharedItems/>
    </cacheField>
    <cacheField name="Dept Cod" numFmtId="0">
      <sharedItems/>
    </cacheField>
    <cacheField name="Dept Code" numFmtId="0">
      <sharedItems/>
    </cacheField>
    <cacheField name="Department Name " numFmtId="0">
      <sharedItems/>
    </cacheField>
    <cacheField name="Hire Date" numFmtId="14">
      <sharedItems containsSemiMixedTypes="0" containsNonDate="0" containsDate="1" containsString="0" minDate="2015-01-04T00:00:00" maxDate="2023-12-13T00:00:00"/>
    </cacheField>
    <cacheField name="Year of Service " numFmtId="1">
      <sharedItems containsSemiMixedTypes="0" containsString="0" containsNumber="1" containsInteger="1" minValue="2" maxValue="11"/>
    </cacheField>
    <cacheField name="Salary" numFmtId="167">
      <sharedItems containsBlank="1" containsMixedTypes="1" containsNumber="1" containsInteger="1" minValue="45196" maxValue="118947"/>
    </cacheField>
    <cacheField name="Estimated Median Salary" numFmtId="167">
      <sharedItems containsSemiMixedTypes="0" containsString="0" containsNumber="1" containsInteger="1" minValue="45196" maxValue="118947"/>
    </cacheField>
    <cacheField name="Perf_Score" numFmtId="0">
      <sharedItems containsString="0" containsBlank="1" containsNumber="1" containsInteger="1" minValue="30" maxValue="99"/>
    </cacheField>
    <cacheField name="Performance Band " numFmtId="0">
      <sharedItems/>
    </cacheField>
    <cacheField name="Employment Status" numFmtId="0">
      <sharedItems/>
    </cacheField>
    <cacheField name="Left/Resigned Band" numFmtId="0">
      <sharedItems containsSemiMixedTypes="0" containsString="0" containsNumber="1" containsInteger="1" minValue="0" maxValue="1"/>
    </cacheField>
    <cacheField name="Left-Band" numFmtId="0">
      <sharedItems/>
    </cacheField>
    <cacheField name="Eligible Bonus Amount" numFmtId="0">
      <sharedItems/>
    </cacheField>
    <cacheField name="Bonus Paid" numFmtId="0">
      <sharedItems containsSemiMixedTypes="0" containsString="0" containsNumber="1" minValue="0" maxValue="14273.64"/>
    </cacheField>
  </cacheFields>
  <extLst>
    <ext xmlns:x14="http://schemas.microsoft.com/office/spreadsheetml/2009/9/main" uri="{725AE2AE-9491-48be-B2B4-4EB974FC3084}">
      <x14:pivotCacheDefinition pivotCacheId="72536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s v="EMP127"/>
    <s v="Emily Brown"/>
    <s v="IT02"/>
    <s v="IT02"/>
    <x v="0"/>
    <d v="2017-12-24T00:00:00"/>
    <n v="8"/>
    <n v="50361"/>
    <n v="50361"/>
    <n v="52"/>
    <x v="0"/>
    <s v="Active"/>
    <n v="0"/>
    <x v="0"/>
    <s v="0.02"/>
    <n v="1007.22"/>
  </r>
  <r>
    <s v="EMP046"/>
    <s v="Richard Hernandez"/>
    <s v="MKT04"/>
    <s v="MKT04"/>
    <x v="1"/>
    <d v="2022-04-08T00:00:00"/>
    <n v="4"/>
    <n v="112673"/>
    <n v="112673"/>
    <m/>
    <x v="1"/>
    <s v=" ACTIVE "/>
    <n v="0"/>
    <x v="0"/>
    <s v="0"/>
    <n v="0"/>
  </r>
  <r>
    <s v="EMP134"/>
    <s v="Emily Gonzalez"/>
    <s v=" IT02 "/>
    <s v="IT02"/>
    <x v="0"/>
    <d v="2016-03-02T00:00:00"/>
    <n v="10"/>
    <n v="114425"/>
    <n v="114425"/>
    <n v="54"/>
    <x v="0"/>
    <s v="Left"/>
    <n v="1"/>
    <x v="1"/>
    <s v="0.02"/>
    <n v="2288.5"/>
  </r>
  <r>
    <s v="EMP139"/>
    <s v="John Martinez"/>
    <s v="FIN03"/>
    <s v="FIN03"/>
    <x v="2"/>
    <d v="2023-07-03T00:00:00"/>
    <n v="3"/>
    <n v="103831"/>
    <n v="103831"/>
    <n v="70"/>
    <x v="2"/>
    <s v="Active"/>
    <n v="0"/>
    <x v="0"/>
    <s v="0.05"/>
    <n v="5191.55"/>
  </r>
  <r>
    <s v="EMP112"/>
    <s v="Thomas Smith"/>
    <s v="IT02"/>
    <s v="IT02"/>
    <x v="0"/>
    <d v="2023-02-20T00:00:00"/>
    <n v="3"/>
    <n v="73785"/>
    <n v="73785"/>
    <n v="40"/>
    <x v="1"/>
    <s v="Left"/>
    <n v="1"/>
    <x v="1"/>
    <s v="0"/>
    <n v="0"/>
  </r>
  <r>
    <s v="EMP030"/>
    <s v="Emily Johnson"/>
    <s v="OPS06"/>
    <s v="OPS06"/>
    <x v="3"/>
    <d v="2020-03-02T00:00:00"/>
    <n v="6"/>
    <n v="115882"/>
    <n v="115882"/>
    <n v="49"/>
    <x v="1"/>
    <s v="Active "/>
    <n v="0"/>
    <x v="0"/>
    <s v="0"/>
    <n v="0"/>
  </r>
  <r>
    <s v="EMP096"/>
    <s v="John Wilson"/>
    <s v=" OPS06 "/>
    <s v="OPS06"/>
    <x v="3"/>
    <d v="2023-12-12T00:00:00"/>
    <n v="2"/>
    <n v="59980"/>
    <n v="59980"/>
    <n v="70"/>
    <x v="2"/>
    <s v="Left"/>
    <n v="1"/>
    <x v="1"/>
    <s v="0.05"/>
    <n v="2999"/>
  </r>
  <r>
    <s v="EMP098"/>
    <s v="Jessica Smith"/>
    <s v=" OPS06 "/>
    <s v="OPS06"/>
    <x v="3"/>
    <d v="2020-12-09T00:00:00"/>
    <n v="5"/>
    <n v="68728"/>
    <n v="68728"/>
    <n v="45"/>
    <x v="1"/>
    <s v="Active "/>
    <n v="0"/>
    <x v="0"/>
    <s v="0"/>
    <n v="0"/>
  </r>
  <r>
    <s v="EMP095"/>
    <s v="Rodriguez"/>
    <s v="FIN03"/>
    <s v="FIN03"/>
    <x v="2"/>
    <d v="2018-01-07T00:00:00"/>
    <n v="8"/>
    <n v="102139"/>
    <n v="102139"/>
    <n v="79"/>
    <x v="2"/>
    <s v="Active"/>
    <n v="0"/>
    <x v="0"/>
    <s v="0.05"/>
    <n v="5106.9500000000007"/>
  </r>
  <r>
    <s v="EMP140"/>
    <s v="Michael Martinez"/>
    <s v="SAL05"/>
    <s v="SAL05"/>
    <x v="4"/>
    <d v="2016-11-02T00:00:00"/>
    <n v="9"/>
    <n v="94998"/>
    <n v="94998"/>
    <n v="58"/>
    <x v="0"/>
    <s v="Active"/>
    <n v="0"/>
    <x v="0"/>
    <s v="0.02"/>
    <n v="1899.96"/>
  </r>
  <r>
    <s v="EMP020"/>
    <s v="Emily Miller"/>
    <s v="SAL05"/>
    <s v="SAL05"/>
    <x v="4"/>
    <d v="2020-03-21T00:00:00"/>
    <n v="6"/>
    <n v="118635"/>
    <n v="118635"/>
    <n v="49"/>
    <x v="1"/>
    <s v="Active"/>
    <n v="0"/>
    <x v="0"/>
    <s v="0"/>
    <n v="0"/>
  </r>
  <r>
    <s v="EMP057"/>
    <s v="Emily Hernandez"/>
    <s v="IT02"/>
    <s v="IT02"/>
    <x v="0"/>
    <d v="2016-02-25T00:00:00"/>
    <n v="10"/>
    <n v="76918"/>
    <n v="76918"/>
    <n v="62"/>
    <x v="0"/>
    <s v="Active"/>
    <n v="0"/>
    <x v="0"/>
    <s v="0.02"/>
    <n v="1538.3600000000001"/>
  </r>
  <r>
    <s v="EMP016"/>
    <s v="Jane Williams"/>
    <s v="MKT04"/>
    <s v="MKT04"/>
    <x v="1"/>
    <d v="2021-06-17T00:00:00"/>
    <n v="5"/>
    <n v="61408"/>
    <n v="61408"/>
    <n v="48"/>
    <x v="1"/>
    <s v="Active "/>
    <n v="0"/>
    <x v="0"/>
    <s v="0"/>
    <n v="0"/>
  </r>
  <r>
    <s v="EMP070"/>
    <s v="Jane Miller"/>
    <s v="MKT04"/>
    <s v="MKT04"/>
    <x v="1"/>
    <d v="2020-06-19T00:00:00"/>
    <n v="6"/>
    <n v="99990"/>
    <n v="99990"/>
    <n v="54"/>
    <x v="0"/>
    <s v="Active"/>
    <n v="0"/>
    <x v="0"/>
    <s v="0.02"/>
    <n v="1999.8"/>
  </r>
  <r>
    <s v="EMP025"/>
    <s v="Robert Jones"/>
    <s v=" MKT04 "/>
    <s v="MKT04"/>
    <x v="1"/>
    <d v="2019-12-21T00:00:00"/>
    <n v="6"/>
    <n v="80385"/>
    <n v="80385"/>
    <m/>
    <x v="1"/>
    <s v="Active"/>
    <n v="0"/>
    <x v="0"/>
    <s v="0"/>
    <n v="0"/>
  </r>
  <r>
    <s v="EMP031"/>
    <s v="Thomas Rodriguez"/>
    <s v="SAL05"/>
    <s v="SAL05"/>
    <x v="4"/>
    <d v="2023-08-31T00:00:00"/>
    <n v="2"/>
    <n v="65290"/>
    <n v="65290"/>
    <n v="77"/>
    <x v="2"/>
    <s v="Active"/>
    <n v="0"/>
    <x v="0"/>
    <s v="0.05"/>
    <n v="3264.5"/>
  </r>
  <r>
    <s v="EMP126"/>
    <s v="Emily Davis"/>
    <s v="IT02"/>
    <s v="IT02"/>
    <x v="0"/>
    <d v="2015-11-29T00:00:00"/>
    <n v="10"/>
    <n v="105765"/>
    <n v="105765"/>
    <n v="42"/>
    <x v="1"/>
    <s v="Active"/>
    <n v="0"/>
    <x v="0"/>
    <s v="0"/>
    <n v="0"/>
  </r>
  <r>
    <s v="EMP109"/>
    <s v="James Martinez"/>
    <s v="SAL05"/>
    <s v="SAL05"/>
    <x v="4"/>
    <d v="2017-06-13T00:00:00"/>
    <n v="9"/>
    <n v="102921"/>
    <n v="102921"/>
    <n v="49"/>
    <x v="1"/>
    <s v="Active "/>
    <n v="0"/>
    <x v="0"/>
    <s v="0"/>
    <n v="0"/>
  </r>
  <r>
    <s v="EMP066"/>
    <s v="Ashley Lopez"/>
    <s v="MKT04"/>
    <s v="MKT04"/>
    <x v="1"/>
    <d v="2018-05-15T00:00:00"/>
    <n v="8"/>
    <n v="73984"/>
    <n v="73984"/>
    <n v="93"/>
    <x v="3"/>
    <s v="Active"/>
    <n v="0"/>
    <x v="0"/>
    <s v="0.08"/>
    <n v="5918.72"/>
  </r>
  <r>
    <s v="EMP120"/>
    <s v="Amanda Gonzalez"/>
    <s v="IT02"/>
    <s v="IT02"/>
    <x v="0"/>
    <d v="2016-07-24T00:00:00"/>
    <n v="9"/>
    <s v=""/>
    <n v="77819"/>
    <n v="75"/>
    <x v="2"/>
    <s v="Active"/>
    <n v="0"/>
    <x v="0"/>
    <s v="0.05"/>
    <n v="0"/>
  </r>
  <r>
    <s v="EMP019"/>
    <s v="Michael Hernandez"/>
    <s v="FIN03"/>
    <s v="FIN03"/>
    <x v="2"/>
    <d v="2017-12-07T00:00:00"/>
    <n v="8"/>
    <n v="118527"/>
    <n v="118527"/>
    <n v="50"/>
    <x v="0"/>
    <s v="Active"/>
    <n v="0"/>
    <x v="0"/>
    <s v="0.02"/>
    <n v="2370.54"/>
  </r>
  <r>
    <s v="EMP013"/>
    <s v="Richard Hernandez"/>
    <s v="MKT04"/>
    <s v="MKT04"/>
    <x v="1"/>
    <d v="2021-06-06T00:00:00"/>
    <n v="5"/>
    <n v="107871"/>
    <n v="107871"/>
    <n v="88"/>
    <x v="3"/>
    <s v="Active"/>
    <n v="0"/>
    <x v="0"/>
    <s v="0.08"/>
    <n v="8629.68"/>
  </r>
  <r>
    <s v="EMP010"/>
    <s v="Michael Rodriguez"/>
    <s v=" IT02 "/>
    <s v="IT02"/>
    <x v="0"/>
    <d v="2022-09-11T00:00:00"/>
    <n v="3"/>
    <n v="93956"/>
    <n v="93956"/>
    <n v="50"/>
    <x v="0"/>
    <s v="Left"/>
    <n v="1"/>
    <x v="1"/>
    <s v="0.02"/>
    <n v="1879.1200000000001"/>
  </r>
  <r>
    <s v="EMP032"/>
    <s v="Jessica Johnson"/>
    <s v=" FIN03 "/>
    <s v="FIN03"/>
    <x v="2"/>
    <d v="2016-07-14T00:00:00"/>
    <n v="9"/>
    <n v="100851"/>
    <n v="100851"/>
    <n v="64"/>
    <x v="0"/>
    <s v="Active "/>
    <n v="0"/>
    <x v="0"/>
    <s v="0.02"/>
    <n v="2017.02"/>
  </r>
  <r>
    <s v="EMP082"/>
    <s v="Ashley Williams"/>
    <s v="SAL05"/>
    <s v="SAL05"/>
    <x v="4"/>
    <d v="2022-06-16T00:00:00"/>
    <n v="4"/>
    <n v="68655"/>
    <n v="68655"/>
    <n v="32"/>
    <x v="1"/>
    <s v="Active"/>
    <n v="0"/>
    <x v="0"/>
    <s v="0"/>
    <n v="0"/>
  </r>
  <r>
    <s v="EMP052"/>
    <s v="Williams"/>
    <s v=" SAL05 "/>
    <s v="SAL05"/>
    <x v="4"/>
    <d v="2023-07-27T00:00:00"/>
    <n v="2"/>
    <n v="81205"/>
    <n v="81205"/>
    <n v="59"/>
    <x v="0"/>
    <s v="Active"/>
    <n v="0"/>
    <x v="0"/>
    <s v="0.02"/>
    <n v="1624.1000000000001"/>
  </r>
  <r>
    <s v="EMP129"/>
    <s v="John Wilson"/>
    <s v="SAL05"/>
    <s v="SAL05"/>
    <x v="4"/>
    <d v="2019-09-24T00:00:00"/>
    <n v="6"/>
    <n v="77610"/>
    <n v="77610"/>
    <n v="88"/>
    <x v="3"/>
    <s v="Active"/>
    <n v="0"/>
    <x v="0"/>
    <s v="0.08"/>
    <n v="6208.8"/>
  </r>
  <r>
    <s v="EMP146"/>
    <s v="Thomas Rodriguez"/>
    <s v="IT02"/>
    <s v="IT02"/>
    <x v="0"/>
    <d v="2022-07-23T00:00:00"/>
    <n v="3"/>
    <n v="50873"/>
    <n v="50873"/>
    <n v="90"/>
    <x v="3"/>
    <s v="Active"/>
    <n v="0"/>
    <x v="0"/>
    <s v="0.08"/>
    <n v="4069.84"/>
  </r>
  <r>
    <s v="EMP099"/>
    <s v="Michael Wilson"/>
    <s v="FIN03"/>
    <s v="FIN03"/>
    <x v="2"/>
    <d v="2018-05-13T00:00:00"/>
    <n v="8"/>
    <n v="85312"/>
    <n v="85312"/>
    <n v="66"/>
    <x v="0"/>
    <s v="Active"/>
    <n v="0"/>
    <x v="0"/>
    <s v="0.02"/>
    <n v="1706.24"/>
  </r>
  <r>
    <s v="EMP015"/>
    <s v="John Rodriguez"/>
    <s v="SAL05"/>
    <s v="SAL05"/>
    <x v="4"/>
    <d v="2015-07-17T00:00:00"/>
    <n v="10"/>
    <m/>
    <n v="81205"/>
    <n v="68"/>
    <x v="0"/>
    <s v="Active"/>
    <n v="0"/>
    <x v="0"/>
    <s v="0.02"/>
    <n v="0"/>
  </r>
  <r>
    <s v="EMP076"/>
    <s v="Thomas Hernandez"/>
    <s v="OPS06"/>
    <s v="OPS06"/>
    <x v="3"/>
    <d v="2015-08-05T00:00:00"/>
    <n v="10"/>
    <n v="97055"/>
    <n v="97055"/>
    <n v="80"/>
    <x v="2"/>
    <s v="Active"/>
    <n v="0"/>
    <x v="0"/>
    <s v="0.05"/>
    <n v="4852.75"/>
  </r>
  <r>
    <s v="EMP137"/>
    <s v="Michael Johnson"/>
    <s v="IT02"/>
    <s v="IT02"/>
    <x v="0"/>
    <d v="2023-09-26T00:00:00"/>
    <n v="2"/>
    <n v="66069"/>
    <n v="66069"/>
    <n v="72"/>
    <x v="2"/>
    <s v="Active"/>
    <n v="0"/>
    <x v="0"/>
    <s v="0.05"/>
    <n v="3303.4500000000003"/>
  </r>
  <r>
    <s v="EMP056"/>
    <s v="Sarah Brown"/>
    <s v="IT02"/>
    <s v="IT02"/>
    <x v="0"/>
    <d v="2019-06-10T00:00:00"/>
    <n v="7"/>
    <n v="90157"/>
    <n v="90157"/>
    <n v="58"/>
    <x v="0"/>
    <s v="Active"/>
    <n v="0"/>
    <x v="0"/>
    <s v="0.02"/>
    <n v="1803.14"/>
  </r>
  <r>
    <s v="EMP125"/>
    <s v="Jane Martinez"/>
    <s v="HR01"/>
    <s v="HR01"/>
    <x v="5"/>
    <d v="2022-01-17T00:00:00"/>
    <n v="4"/>
    <n v="59899"/>
    <n v="59899"/>
    <n v="78"/>
    <x v="2"/>
    <s v="Active"/>
    <n v="0"/>
    <x v="0"/>
    <s v="0.05"/>
    <n v="2994.9500000000003"/>
  </r>
  <r>
    <s v="EMP085"/>
    <s v="Emily Jones"/>
    <s v=" FIN03 "/>
    <s v="FIN03"/>
    <x v="2"/>
    <d v="2017-07-03T00:00:00"/>
    <n v="9"/>
    <n v="113389"/>
    <n v="113389"/>
    <n v="30"/>
    <x v="1"/>
    <s v="Active "/>
    <n v="0"/>
    <x v="0"/>
    <s v="0"/>
    <n v="0"/>
  </r>
  <r>
    <s v="EMP106"/>
    <s v="Brown"/>
    <s v=" IT02 "/>
    <s v="IT02"/>
    <x v="0"/>
    <d v="2015-09-01T00:00:00"/>
    <n v="10"/>
    <n v="102691"/>
    <n v="102691"/>
    <n v="52"/>
    <x v="0"/>
    <s v="Active"/>
    <n v="0"/>
    <x v="0"/>
    <s v="0.02"/>
    <n v="2053.8200000000002"/>
  </r>
  <r>
    <s v="EMP043"/>
    <s v="John Wilson"/>
    <s v="OPS06"/>
    <s v="OPS06"/>
    <x v="3"/>
    <d v="2022-08-03T00:00:00"/>
    <n v="3"/>
    <n v="111845"/>
    <n v="111845"/>
    <n v="98"/>
    <x v="4"/>
    <s v="Active"/>
    <n v="0"/>
    <x v="0"/>
    <s v="0.12"/>
    <n v="13421.4"/>
  </r>
  <r>
    <s v="EMP068"/>
    <s v="Melissa Brown"/>
    <s v=" SAL05 "/>
    <s v="SAL05"/>
    <x v="4"/>
    <d v="2022-06-29T00:00:00"/>
    <n v="4"/>
    <n v="69219"/>
    <n v="69219"/>
    <n v="93"/>
    <x v="3"/>
    <s v="Active"/>
    <n v="0"/>
    <x v="0"/>
    <s v="0.08"/>
    <n v="5537.52"/>
  </r>
  <r>
    <s v="EMP128"/>
    <s v="Michael Smith"/>
    <s v="FIN03"/>
    <s v="FIN03"/>
    <x v="2"/>
    <d v="2020-04-28T00:00:00"/>
    <n v="6"/>
    <m/>
    <n v="93152"/>
    <n v="80"/>
    <x v="2"/>
    <s v="Left"/>
    <n v="1"/>
    <x v="1"/>
    <s v="0.05"/>
    <n v="0"/>
  </r>
  <r>
    <s v="EMP027"/>
    <s v="Sarah Miller"/>
    <s v="OPS06"/>
    <s v="OPS06"/>
    <x v="3"/>
    <d v="2017-09-09T00:00:00"/>
    <n v="8"/>
    <n v="57514"/>
    <n v="57514"/>
    <m/>
    <x v="1"/>
    <s v="Active"/>
    <n v="0"/>
    <x v="0"/>
    <s v="0"/>
    <n v="0"/>
  </r>
  <r>
    <s v="EMP136"/>
    <s v="Emily Wilson"/>
    <s v="SAL05"/>
    <s v="SAL05"/>
    <x v="4"/>
    <d v="2018-03-22T00:00:00"/>
    <n v="8"/>
    <n v="86245"/>
    <n v="86245"/>
    <n v="71"/>
    <x v="2"/>
    <s v="Left"/>
    <n v="1"/>
    <x v="1"/>
    <s v="0.05"/>
    <n v="4312.25"/>
  </r>
  <r>
    <s v="EMP079"/>
    <s v="David Hernandez"/>
    <s v="SAL05"/>
    <s v="SAL05"/>
    <x v="4"/>
    <d v="2020-05-07T00:00:00"/>
    <n v="6"/>
    <n v="52407"/>
    <n v="52407"/>
    <n v="55"/>
    <x v="0"/>
    <s v="Active"/>
    <n v="0"/>
    <x v="0"/>
    <s v="0.02"/>
    <n v="1048.1400000000001"/>
  </r>
  <r>
    <s v="EMP149"/>
    <s v="James Smith"/>
    <s v=" OPS06 "/>
    <s v="OPS06"/>
    <x v="3"/>
    <d v="2019-03-25T00:00:00"/>
    <n v="7"/>
    <n v="66606"/>
    <n v="66606"/>
    <n v="93"/>
    <x v="3"/>
    <s v="Resigned"/>
    <n v="1"/>
    <x v="1"/>
    <s v="0.08"/>
    <n v="5328.4800000000005"/>
  </r>
  <r>
    <s v="EMP037"/>
    <s v="Sarah Williams"/>
    <s v="IT02"/>
    <s v="IT02"/>
    <x v="0"/>
    <d v="2019-08-09T00:00:00"/>
    <n v="6"/>
    <n v="81896"/>
    <n v="81896"/>
    <n v="79"/>
    <x v="2"/>
    <s v="Resigned"/>
    <n v="1"/>
    <x v="1"/>
    <s v="0.05"/>
    <n v="4094.8"/>
  </r>
  <r>
    <s v="EMP077"/>
    <s v="Amanda Lopez"/>
    <s v="SAL05"/>
    <s v="SAL05"/>
    <x v="4"/>
    <d v="2016-07-14T00:00:00"/>
    <n v="9"/>
    <n v="78402"/>
    <n v="78402"/>
    <n v="54"/>
    <x v="0"/>
    <s v="Active "/>
    <n v="0"/>
    <x v="0"/>
    <s v="0.02"/>
    <n v="1568.04"/>
  </r>
  <r>
    <s v="EMP023"/>
    <s v="Thomas Lopez"/>
    <s v=" OPS06 "/>
    <s v="OPS06"/>
    <x v="3"/>
    <d v="2016-10-04T00:00:00"/>
    <n v="9"/>
    <n v="105498"/>
    <n v="105498"/>
    <n v="76"/>
    <x v="2"/>
    <s v="Active"/>
    <n v="0"/>
    <x v="0"/>
    <s v="0.05"/>
    <n v="5274.9000000000005"/>
  </r>
  <r>
    <s v="EMP133"/>
    <s v="Melissa Johnson"/>
    <s v="MKT04"/>
    <s v="MKT04"/>
    <x v="1"/>
    <d v="2019-07-10T00:00:00"/>
    <n v="6"/>
    <n v="91749"/>
    <n v="91749"/>
    <n v="72"/>
    <x v="2"/>
    <s v="Left"/>
    <n v="1"/>
    <x v="1"/>
    <s v="0.05"/>
    <n v="4587.45"/>
  </r>
  <r>
    <s v="EMP141"/>
    <s v="Amanda Johnson"/>
    <s v=" OPS06 "/>
    <s v="OPS06"/>
    <x v="3"/>
    <d v="2021-08-29T00:00:00"/>
    <n v="4"/>
    <n v="99935"/>
    <n v="99935"/>
    <n v="84"/>
    <x v="2"/>
    <s v="Resigned"/>
    <n v="1"/>
    <x v="1"/>
    <s v="0.05"/>
    <n v="4996.75"/>
  </r>
  <r>
    <s v="EMP012"/>
    <s v="John Davis"/>
    <s v=" IT02 "/>
    <s v="IT02"/>
    <x v="0"/>
    <d v="2017-01-26T00:00:00"/>
    <n v="9"/>
    <n v="83531"/>
    <n v="83531"/>
    <n v="30"/>
    <x v="1"/>
    <s v="Left"/>
    <n v="1"/>
    <x v="1"/>
    <s v="0"/>
    <n v="0"/>
  </r>
  <r>
    <s v="EMP080"/>
    <s v="James Johnson"/>
    <s v="MKT04"/>
    <s v="MKT04"/>
    <x v="1"/>
    <d v="2020-05-30T00:00:00"/>
    <n v="6"/>
    <n v="75023"/>
    <n v="75023"/>
    <m/>
    <x v="1"/>
    <s v=" ACTIVE "/>
    <n v="0"/>
    <x v="0"/>
    <s v="0"/>
    <n v="0"/>
  </r>
  <r>
    <s v="EMP069"/>
    <s v="Jane Davis"/>
    <s v="HR01"/>
    <s v="HR01"/>
    <x v="5"/>
    <d v="2022-02-20T00:00:00"/>
    <n v="4"/>
    <n v="93290"/>
    <n v="93290"/>
    <n v="53"/>
    <x v="0"/>
    <s v="Active "/>
    <n v="0"/>
    <x v="0"/>
    <s v="0.02"/>
    <n v="1865.8"/>
  </r>
  <r>
    <s v="EMP150"/>
    <s v="Richard Davis"/>
    <s v="OPS06"/>
    <s v="OPS06"/>
    <x v="3"/>
    <d v="2016-09-15T00:00:00"/>
    <n v="9"/>
    <n v="115527"/>
    <n v="115527"/>
    <n v="63"/>
    <x v="0"/>
    <s v="Resigned"/>
    <n v="1"/>
    <x v="1"/>
    <s v="0.02"/>
    <n v="2310.54"/>
  </r>
  <r>
    <s v="EMP028"/>
    <s v="Thomas Rodriguez"/>
    <s v=" FIN03 "/>
    <s v="FIN03"/>
    <x v="2"/>
    <d v="2019-10-07T00:00:00"/>
    <n v="6"/>
    <n v="55920"/>
    <n v="55920"/>
    <n v="84"/>
    <x v="2"/>
    <s v="Active"/>
    <n v="0"/>
    <x v="0"/>
    <s v="0.05"/>
    <n v="2796"/>
  </r>
  <r>
    <s v="EMP087"/>
    <s v="Emily Johnson"/>
    <s v="SAL05"/>
    <s v="SAL05"/>
    <x v="4"/>
    <d v="2018-12-30T00:00:00"/>
    <n v="7"/>
    <n v="80189"/>
    <n v="80189"/>
    <n v="30"/>
    <x v="1"/>
    <s v="Active"/>
    <n v="0"/>
    <x v="0"/>
    <s v="0"/>
    <n v="0"/>
  </r>
  <r>
    <s v="EMP119"/>
    <s v="Emily Garcia"/>
    <s v="HR01"/>
    <s v="HR01"/>
    <x v="5"/>
    <d v="2020-12-24T00:00:00"/>
    <n v="5"/>
    <n v="118947"/>
    <n v="118947"/>
    <n v="96"/>
    <x v="4"/>
    <s v="Active"/>
    <n v="0"/>
    <x v="0"/>
    <s v="0.12"/>
    <n v="14273.64"/>
  </r>
  <r>
    <s v="EMP042"/>
    <s v="Jane Anderson"/>
    <s v="IT02"/>
    <s v="IT02"/>
    <x v="0"/>
    <d v="2023-07-05T00:00:00"/>
    <n v="3"/>
    <m/>
    <n v="77819"/>
    <n v="54"/>
    <x v="0"/>
    <s v="Active"/>
    <n v="0"/>
    <x v="0"/>
    <s v="0.02"/>
    <n v="0"/>
  </r>
  <r>
    <s v="EMP005"/>
    <s v="Thomas Garcia"/>
    <s v=" OPS06 "/>
    <s v="OPS06"/>
    <x v="3"/>
    <d v="2020-11-13T00:00:00"/>
    <n v="5"/>
    <m/>
    <n v="68728"/>
    <n v="75"/>
    <x v="2"/>
    <s v="Active"/>
    <n v="0"/>
    <x v="0"/>
    <s v="0.05"/>
    <n v="0"/>
  </r>
  <r>
    <s v="EMP033"/>
    <s v="David Martinez"/>
    <s v="HR01"/>
    <s v="HR01"/>
    <x v="5"/>
    <d v="2018-02-07T00:00:00"/>
    <n v="8"/>
    <n v="91655"/>
    <n v="91655"/>
    <n v="95"/>
    <x v="4"/>
    <s v="Active"/>
    <n v="0"/>
    <x v="0"/>
    <s v="0.12"/>
    <n v="10998.6"/>
  </r>
  <r>
    <s v="EMP061"/>
    <s v="Emily Brown"/>
    <s v="IT02"/>
    <s v="IT02"/>
    <x v="0"/>
    <d v="2023-11-25T00:00:00"/>
    <n v="2"/>
    <n v="49435"/>
    <n v="49435"/>
    <m/>
    <x v="1"/>
    <s v="Left"/>
    <n v="1"/>
    <x v="1"/>
    <s v="0"/>
    <n v="0"/>
  </r>
  <r>
    <s v="EMP102"/>
    <s v="Emily Wilson"/>
    <s v="SAL05"/>
    <s v="SAL05"/>
    <x v="4"/>
    <d v="2023-10-18T00:00:00"/>
    <n v="2"/>
    <n v="110381"/>
    <n v="110381"/>
    <n v="93"/>
    <x v="3"/>
    <s v="Active"/>
    <n v="0"/>
    <x v="0"/>
    <s v="0.08"/>
    <n v="8830.48"/>
  </r>
  <r>
    <s v="EMP067"/>
    <s v="Michael Anderson"/>
    <s v="HR01"/>
    <s v="HR01"/>
    <x v="5"/>
    <d v="2020-09-05T00:00:00"/>
    <n v="5"/>
    <n v="114748"/>
    <n v="114748"/>
    <n v="33"/>
    <x v="1"/>
    <s v="Active"/>
    <n v="0"/>
    <x v="0"/>
    <s v="0"/>
    <n v="0"/>
  </r>
  <r>
    <s v="EMP017"/>
    <s v="Robert Johnson"/>
    <s v="OPS06"/>
    <s v="OPS06"/>
    <x v="3"/>
    <d v="2017-03-06T00:00:00"/>
    <n v="9"/>
    <n v="63302"/>
    <n v="63302"/>
    <n v="91"/>
    <x v="3"/>
    <s v="Active"/>
    <n v="0"/>
    <x v="0"/>
    <s v="0.08"/>
    <n v="5064.16"/>
  </r>
  <r>
    <s v="EMP123"/>
    <s v="Robert Miller"/>
    <s v="IT02"/>
    <s v="IT02"/>
    <x v="0"/>
    <d v="2015-04-28T00:00:00"/>
    <n v="11"/>
    <n v="75519"/>
    <n v="75519"/>
    <n v="64"/>
    <x v="0"/>
    <s v="Active"/>
    <n v="0"/>
    <x v="0"/>
    <s v="0.02"/>
    <n v="1510.38"/>
  </r>
  <r>
    <s v="EMP011"/>
    <s v="Jane Davis"/>
    <s v=" FIN03 "/>
    <s v="FIN03"/>
    <x v="2"/>
    <d v="2017-04-13T00:00:00"/>
    <n v="9"/>
    <n v="103891"/>
    <n v="103891"/>
    <n v="80"/>
    <x v="2"/>
    <s v="Active"/>
    <n v="0"/>
    <x v="0"/>
    <s v="0.05"/>
    <n v="5194.55"/>
  </r>
  <r>
    <s v="EMP091"/>
    <s v="Thomas Davis"/>
    <s v="OPS06"/>
    <s v="OPS06"/>
    <x v="3"/>
    <d v="2022-09-23T00:00:00"/>
    <n v="3"/>
    <m/>
    <n v="68728"/>
    <n v="46"/>
    <x v="1"/>
    <s v="Left "/>
    <n v="0"/>
    <x v="0"/>
    <s v="0"/>
    <n v="0"/>
  </r>
  <r>
    <s v="EMP145"/>
    <s v="Thomas Jones"/>
    <s v=" MKT04 "/>
    <s v="MKT04"/>
    <x v="1"/>
    <d v="2016-11-11T00:00:00"/>
    <n v="9"/>
    <n v="50936"/>
    <n v="50936"/>
    <n v="99"/>
    <x v="4"/>
    <s v="Active"/>
    <n v="0"/>
    <x v="0"/>
    <s v="0.12"/>
    <n v="6112.32"/>
  </r>
  <r>
    <s v="EMP001"/>
    <s v="Michael Miller"/>
    <s v=" SAL05 "/>
    <s v="SAL05"/>
    <x v="4"/>
    <d v="2017-03-24T00:00:00"/>
    <n v="9"/>
    <n v="111240"/>
    <n v="111240"/>
    <m/>
    <x v="1"/>
    <s v="Actv"/>
    <n v="0"/>
    <x v="0"/>
    <s v="0"/>
    <n v="0"/>
  </r>
  <r>
    <s v="EMP113"/>
    <s v="Richard Gonzalez"/>
    <s v="HR01"/>
    <s v="HR01"/>
    <x v="5"/>
    <d v="2019-05-05T00:00:00"/>
    <n v="7"/>
    <n v="51567"/>
    <n v="51567"/>
    <n v="87"/>
    <x v="3"/>
    <s v="Resigned"/>
    <n v="1"/>
    <x v="1"/>
    <s v="0.08"/>
    <n v="4125.3599999999997"/>
  </r>
  <r>
    <s v="EMP065"/>
    <s v="Melissa Williams"/>
    <s v=" HR01 "/>
    <s v="HR01"/>
    <x v="5"/>
    <d v="2021-07-25T00:00:00"/>
    <n v="4"/>
    <m/>
    <n v="86232"/>
    <n v="36"/>
    <x v="1"/>
    <s v="Active"/>
    <n v="0"/>
    <x v="0"/>
    <s v="0"/>
    <n v="0"/>
  </r>
  <r>
    <s v="EMP045"/>
    <s v="Robert Miller"/>
    <s v="HR01"/>
    <s v="HR01"/>
    <x v="5"/>
    <d v="2017-09-30T00:00:00"/>
    <n v="8"/>
    <n v="55270"/>
    <n v="55270"/>
    <n v="87"/>
    <x v="3"/>
    <s v="Active"/>
    <n v="0"/>
    <x v="0"/>
    <s v="0.08"/>
    <n v="4421.6000000000004"/>
  </r>
  <r>
    <s v="EMP083"/>
    <s v="William Garcia"/>
    <s v="SAL05"/>
    <s v="SAL05"/>
    <x v="4"/>
    <d v="2015-07-07T00:00:00"/>
    <n v="10"/>
    <n v="65235"/>
    <n v="65235"/>
    <n v="97"/>
    <x v="4"/>
    <s v="Active "/>
    <n v="0"/>
    <x v="0"/>
    <s v="0.12"/>
    <n v="7828.2"/>
  </r>
  <r>
    <s v="EMP029"/>
    <s v="John Gonzalez"/>
    <s v="SAL05"/>
    <s v="SAL05"/>
    <x v="4"/>
    <d v="2018-07-02T00:00:00"/>
    <n v="8"/>
    <m/>
    <n v="81205"/>
    <n v="72"/>
    <x v="2"/>
    <s v="Left "/>
    <n v="0"/>
    <x v="0"/>
    <s v="0.05"/>
    <n v="0"/>
  </r>
  <r>
    <s v="EMP041"/>
    <s v="James Gonzalez"/>
    <s v="SAL05"/>
    <s v="SAL05"/>
    <x v="4"/>
    <d v="2022-09-15T00:00:00"/>
    <n v="3"/>
    <m/>
    <n v="81205"/>
    <n v="65"/>
    <x v="0"/>
    <s v="Left "/>
    <n v="0"/>
    <x v="0"/>
    <s v="0.02"/>
    <n v="0"/>
  </r>
  <r>
    <s v="EMP026"/>
    <s v="Jane Gonzalez"/>
    <s v=" SAL05 "/>
    <s v="SAL05"/>
    <x v="4"/>
    <d v="2015-09-02T00:00:00"/>
    <n v="10"/>
    <m/>
    <n v="81205"/>
    <n v="67"/>
    <x v="0"/>
    <s v="Active"/>
    <n v="0"/>
    <x v="0"/>
    <s v="0.02"/>
    <n v="0"/>
  </r>
  <r>
    <s v="EMP024"/>
    <s v="David Wilson"/>
    <s v="OPS06"/>
    <s v="OPS06"/>
    <x v="3"/>
    <d v="2016-10-11T00:00:00"/>
    <n v="9"/>
    <n v="48823"/>
    <n v="48823"/>
    <n v="34"/>
    <x v="1"/>
    <s v="Active "/>
    <n v="0"/>
    <x v="0"/>
    <s v="0"/>
    <n v="0"/>
  </r>
  <r>
    <s v="EMP111"/>
    <s v="Jane Gonzalez"/>
    <s v=" FIN03 "/>
    <s v="FIN03"/>
    <x v="2"/>
    <d v="2019-04-20T00:00:00"/>
    <n v="7"/>
    <n v="45196"/>
    <n v="45196"/>
    <n v="78"/>
    <x v="2"/>
    <s v="Left"/>
    <n v="1"/>
    <x v="1"/>
    <s v="0.05"/>
    <n v="2259.8000000000002"/>
  </r>
  <r>
    <s v="EMP040"/>
    <s v="Jane Rodriguez"/>
    <s v="IT02"/>
    <s v="IT02"/>
    <x v="0"/>
    <d v="2017-02-19T00:00:00"/>
    <n v="9"/>
    <n v="86246"/>
    <n v="86246"/>
    <n v="61"/>
    <x v="0"/>
    <s v="Active"/>
    <n v="0"/>
    <x v="0"/>
    <s v="0.02"/>
    <n v="1724.92"/>
  </r>
  <r>
    <s v="EMP086"/>
    <s v="Emily Miller"/>
    <s v="SAL05"/>
    <s v="SAL05"/>
    <x v="4"/>
    <d v="2021-09-07T00:00:00"/>
    <n v="4"/>
    <n v="70359"/>
    <n v="70359"/>
    <n v="74"/>
    <x v="2"/>
    <s v="Left"/>
    <n v="1"/>
    <x v="1"/>
    <s v="0.05"/>
    <n v="3517.9500000000003"/>
  </r>
  <r>
    <s v="EMP124"/>
    <s v="Sarah Miller"/>
    <s v=" MKT04 "/>
    <s v="MKT04"/>
    <x v="1"/>
    <d v="2019-05-14T00:00:00"/>
    <n v="7"/>
    <m/>
    <n v="85581"/>
    <n v="94"/>
    <x v="3"/>
    <s v="Active "/>
    <n v="0"/>
    <x v="0"/>
    <s v="0.08"/>
    <n v="0"/>
  </r>
  <r>
    <s v="EMP132"/>
    <s v="Jessica Garcia"/>
    <s v=" OPS06 "/>
    <s v="OPS06"/>
    <x v="3"/>
    <d v="2015-11-22T00:00:00"/>
    <n v="10"/>
    <n v="86480"/>
    <n v="86480"/>
    <m/>
    <x v="1"/>
    <s v=" ACTIVE "/>
    <n v="0"/>
    <x v="0"/>
    <s v="0"/>
    <n v="0"/>
  </r>
  <r>
    <s v="EMP048"/>
    <s v="Richard Smith"/>
    <s v="HR01"/>
    <s v="HR01"/>
    <x v="5"/>
    <d v="2018-09-29T00:00:00"/>
    <n v="7"/>
    <n v="47694"/>
    <n v="47694"/>
    <n v="75"/>
    <x v="2"/>
    <s v="Active "/>
    <n v="0"/>
    <x v="0"/>
    <s v="0.05"/>
    <n v="2384.7000000000003"/>
  </r>
  <r>
    <s v="EMP114"/>
    <s v="Melissa Wilson"/>
    <s v="IT02"/>
    <s v="IT02"/>
    <x v="0"/>
    <d v="2023-09-02T00:00:00"/>
    <n v="2"/>
    <n v="83724"/>
    <n v="83724"/>
    <n v="81"/>
    <x v="2"/>
    <s v="Resigned"/>
    <n v="1"/>
    <x v="1"/>
    <s v="0.05"/>
    <n v="4186.2"/>
  </r>
  <r>
    <s v="EMP062"/>
    <s v="Thomas Williams"/>
    <s v=" FIN03 "/>
    <s v="FIN03"/>
    <x v="2"/>
    <d v="2022-07-17T00:00:00"/>
    <n v="3"/>
    <n v="98299"/>
    <n v="98299"/>
    <n v="61"/>
    <x v="0"/>
    <s v="Active"/>
    <n v="0"/>
    <x v="0"/>
    <s v="0.02"/>
    <n v="1965.98"/>
  </r>
  <r>
    <s v="EMP074"/>
    <s v="David Williams"/>
    <s v="FIN03"/>
    <s v="FIN03"/>
    <x v="2"/>
    <d v="2021-02-07T00:00:00"/>
    <n v="5"/>
    <m/>
    <n v="93152"/>
    <n v="68"/>
    <x v="0"/>
    <s v="Active"/>
    <n v="0"/>
    <x v="0"/>
    <s v="0.02"/>
    <n v="0"/>
  </r>
  <r>
    <s v="EMP034"/>
    <s v="John Johnson"/>
    <s v="IT02"/>
    <s v="IT02"/>
    <x v="0"/>
    <d v="2023-10-04T00:00:00"/>
    <n v="2"/>
    <n v="52287"/>
    <n v="52287"/>
    <n v="70"/>
    <x v="2"/>
    <s v="Active"/>
    <n v="0"/>
    <x v="0"/>
    <s v="0.05"/>
    <n v="2614.3500000000004"/>
  </r>
  <r>
    <s v="EMP105"/>
    <s v="Richard Gonzalez"/>
    <s v="IT02"/>
    <s v="IT02"/>
    <x v="0"/>
    <d v="2020-08-30T00:00:00"/>
    <n v="5"/>
    <n v="82633"/>
    <n v="82633"/>
    <n v="98"/>
    <x v="4"/>
    <s v="Active "/>
    <n v="0"/>
    <x v="0"/>
    <s v="0.12"/>
    <n v="9915.9599999999991"/>
  </r>
  <r>
    <s v="EMP118"/>
    <s v="Melissa Anderson"/>
    <s v=" OPS06 "/>
    <s v="OPS06"/>
    <x v="3"/>
    <d v="2021-08-14T00:00:00"/>
    <n v="4"/>
    <n v="46508"/>
    <n v="46508"/>
    <n v="34"/>
    <x v="1"/>
    <s v="Active"/>
    <n v="0"/>
    <x v="0"/>
    <s v="0"/>
    <n v="0"/>
  </r>
  <r>
    <s v="EMP063"/>
    <s v="Emily Gonzalez"/>
    <s v="HR01"/>
    <s v="HR01"/>
    <x v="5"/>
    <d v="2019-11-27T00:00:00"/>
    <n v="6"/>
    <n v="86232"/>
    <n v="86232"/>
    <n v="93"/>
    <x v="3"/>
    <s v="Active"/>
    <n v="0"/>
    <x v="0"/>
    <s v="0.08"/>
    <n v="6898.56"/>
  </r>
  <r>
    <s v="EMP094"/>
    <s v="Jane Davis"/>
    <s v="IT02"/>
    <s v="IT02"/>
    <x v="0"/>
    <d v="2017-05-25T00:00:00"/>
    <n v="9"/>
    <n v="77545"/>
    <n v="77545"/>
    <n v="48"/>
    <x v="1"/>
    <s v="Active"/>
    <n v="0"/>
    <x v="0"/>
    <s v="0"/>
    <n v="0"/>
  </r>
  <r>
    <s v="EMP097"/>
    <s v="William Gonzalez"/>
    <s v=" OPS06 "/>
    <s v="OPS06"/>
    <x v="3"/>
    <d v="2018-12-02T00:00:00"/>
    <n v="7"/>
    <n v="68683"/>
    <n v="68683"/>
    <n v="90"/>
    <x v="3"/>
    <s v="Active"/>
    <n v="0"/>
    <x v="0"/>
    <s v="0.08"/>
    <n v="5494.64"/>
  </r>
  <r>
    <s v="EMP054"/>
    <s v="Thomas Jones"/>
    <s v="FIN03"/>
    <s v="FIN03"/>
    <x v="2"/>
    <d v="2019-06-23T00:00:00"/>
    <n v="7"/>
    <n v="83932"/>
    <n v="83932"/>
    <n v="57"/>
    <x v="0"/>
    <s v="Left"/>
    <n v="1"/>
    <x v="1"/>
    <s v="0.02"/>
    <n v="1678.64"/>
  </r>
  <r>
    <s v="EMP006"/>
    <s v="Jessica Anderson"/>
    <s v="HR01"/>
    <s v="HR01"/>
    <x v="5"/>
    <d v="2015-10-27T00:00:00"/>
    <n v="10"/>
    <n v="56073"/>
    <n v="56073"/>
    <n v="79"/>
    <x v="2"/>
    <s v="Active"/>
    <n v="0"/>
    <x v="0"/>
    <s v="0.05"/>
    <n v="2803.65"/>
  </r>
  <r>
    <s v="EMP110"/>
    <s v="Melissa Johnson"/>
    <s v=" IT02 "/>
    <s v="IT02"/>
    <x v="0"/>
    <d v="2018-06-19T00:00:00"/>
    <n v="8"/>
    <n v="88056"/>
    <n v="88056"/>
    <n v="66"/>
    <x v="0"/>
    <s v="Active"/>
    <n v="0"/>
    <x v="0"/>
    <s v="0.02"/>
    <n v="1761.1200000000001"/>
  </r>
  <r>
    <s v="EMP147"/>
    <s v="Thomas Miller"/>
    <s v="OPS06"/>
    <s v="OPS06"/>
    <x v="3"/>
    <d v="2018-01-12T00:00:00"/>
    <n v="8"/>
    <n v="67414"/>
    <n v="67414"/>
    <n v="84"/>
    <x v="2"/>
    <s v="Left"/>
    <n v="1"/>
    <x v="1"/>
    <s v="0.05"/>
    <n v="3370.7000000000003"/>
  </r>
  <r>
    <s v="EMP050"/>
    <s v="William Gonzalez"/>
    <s v="SAL05"/>
    <s v="SAL05"/>
    <x v="4"/>
    <d v="2015-01-04T00:00:00"/>
    <n v="11"/>
    <n v="115288"/>
    <n v="115288"/>
    <n v="61"/>
    <x v="0"/>
    <s v="Active"/>
    <n v="0"/>
    <x v="0"/>
    <s v="0.02"/>
    <n v="2305.7600000000002"/>
  </r>
  <r>
    <s v="EMP036"/>
    <s v="Smith"/>
    <s v="SAL05"/>
    <s v="SAL05"/>
    <x v="4"/>
    <d v="2018-12-05T00:00:00"/>
    <n v="7"/>
    <n v="80140"/>
    <n v="80140"/>
    <n v="58"/>
    <x v="0"/>
    <s v="Active"/>
    <n v="0"/>
    <x v="0"/>
    <s v="0.02"/>
    <n v="1602.8"/>
  </r>
  <r>
    <s v="EMP081"/>
    <s v="John Johnson"/>
    <s v="IT02"/>
    <s v="IT02"/>
    <x v="0"/>
    <d v="2021-10-13T00:00:00"/>
    <n v="4"/>
    <n v="73087"/>
    <n v="73087"/>
    <n v="69"/>
    <x v="0"/>
    <s v="Active"/>
    <n v="0"/>
    <x v="0"/>
    <s v="0.02"/>
    <n v="1461.74"/>
  </r>
  <r>
    <s v="EMP078"/>
    <s v="Jane Johnson"/>
    <s v=" SAL05 "/>
    <s v="SAL05"/>
    <x v="4"/>
    <d v="2020-09-07T00:00:00"/>
    <n v="5"/>
    <n v="95292"/>
    <n v="95292"/>
    <n v="34"/>
    <x v="1"/>
    <s v="Active"/>
    <n v="0"/>
    <x v="0"/>
    <s v="0"/>
    <n v="0"/>
  </r>
  <r>
    <s v="EMP035"/>
    <s v="John Jones"/>
    <s v=" IT02 "/>
    <s v="IT02"/>
    <x v="0"/>
    <d v="2019-03-08T00:00:00"/>
    <n v="7"/>
    <m/>
    <n v="77819"/>
    <n v="33"/>
    <x v="1"/>
    <s v="Active"/>
    <n v="0"/>
    <x v="0"/>
    <s v="0"/>
    <n v="0"/>
  </r>
  <r>
    <s v="EMP047"/>
    <s v="Jane Lopez"/>
    <s v="MKT04"/>
    <s v="MKT04"/>
    <x v="1"/>
    <d v="2015-03-11T00:00:00"/>
    <n v="11"/>
    <n v="101750"/>
    <n v="101750"/>
    <n v="84"/>
    <x v="2"/>
    <s v="Left"/>
    <n v="1"/>
    <x v="1"/>
    <s v="0.05"/>
    <n v="5087.5"/>
  </r>
  <r>
    <s v="EMP008"/>
    <s v="Melissa Gonzalez"/>
    <s v="MKT04"/>
    <s v="MKT04"/>
    <x v="1"/>
    <d v="2017-02-19T00:00:00"/>
    <n v="9"/>
    <n v="82992"/>
    <n v="82992"/>
    <n v="79"/>
    <x v="2"/>
    <s v="Active"/>
    <n v="0"/>
    <x v="0"/>
    <s v="0.05"/>
    <n v="4149.6000000000004"/>
  </r>
  <r>
    <s v="EMP044"/>
    <s v="William Davis"/>
    <s v="IT02"/>
    <s v="IT02"/>
    <x v="0"/>
    <d v="2023-05-09T00:00:00"/>
    <n v="3"/>
    <n v="49942"/>
    <n v="49942"/>
    <n v="51"/>
    <x v="0"/>
    <s v="Active"/>
    <n v="0"/>
    <x v="0"/>
    <s v="0.02"/>
    <n v="998.84"/>
  </r>
  <r>
    <s v="EMP071"/>
    <s v="John Smith"/>
    <s v=" OPS06 "/>
    <s v="OPS06"/>
    <x v="3"/>
    <d v="2018-01-22T00:00:00"/>
    <n v="8"/>
    <n v="89060"/>
    <n v="89060"/>
    <n v="58"/>
    <x v="0"/>
    <s v="Active"/>
    <n v="0"/>
    <x v="0"/>
    <s v="0.02"/>
    <n v="1781.2"/>
  </r>
  <r>
    <s v="EMP115"/>
    <s v="James Gonzalez"/>
    <s v="IT02"/>
    <s v="IT02"/>
    <x v="0"/>
    <d v="2020-02-18T00:00:00"/>
    <n v="6"/>
    <n v="53786"/>
    <n v="53786"/>
    <n v="98"/>
    <x v="4"/>
    <s v="Active"/>
    <n v="0"/>
    <x v="0"/>
    <s v="0.12"/>
    <n v="6454.32"/>
  </r>
  <r>
    <s v="EMP092"/>
    <s v="Emily Johnson"/>
    <s v="OPS06"/>
    <s v="OPS06"/>
    <x v="3"/>
    <d v="2016-05-22T00:00:00"/>
    <n v="10"/>
    <n v="81167"/>
    <n v="81167"/>
    <m/>
    <x v="1"/>
    <s v="Active"/>
    <n v="0"/>
    <x v="0"/>
    <s v="0"/>
    <n v="0"/>
  </r>
  <r>
    <s v="EMP084"/>
    <s v="William Williams"/>
    <s v="MKT04"/>
    <s v="MKT04"/>
    <x v="1"/>
    <d v="2021-06-02T00:00:00"/>
    <n v="5"/>
    <n v="66688"/>
    <n v="66688"/>
    <n v="40"/>
    <x v="1"/>
    <s v="Left"/>
    <n v="1"/>
    <x v="1"/>
    <s v="0"/>
    <n v="0"/>
  </r>
  <r>
    <s v="EMP142"/>
    <s v="James Jones"/>
    <s v="IT02"/>
    <s v="IT02"/>
    <x v="0"/>
    <d v="2021-07-17T00:00:00"/>
    <n v="4"/>
    <n v="91672"/>
    <n v="91672"/>
    <n v="88"/>
    <x v="3"/>
    <s v="Active "/>
    <n v="0"/>
    <x v="0"/>
    <s v="0.08"/>
    <n v="7333.76"/>
  </r>
  <r>
    <s v="EMP143"/>
    <s v="Jessica Gonzalez"/>
    <s v=" HR01 "/>
    <s v="HR01"/>
    <x v="5"/>
    <d v="2016-11-13T00:00:00"/>
    <n v="9"/>
    <n v="77737"/>
    <n v="77737"/>
    <n v="77"/>
    <x v="2"/>
    <s v="Active"/>
    <n v="0"/>
    <x v="0"/>
    <s v="0.05"/>
    <n v="3886.8500000000004"/>
  </r>
  <r>
    <s v="EMP090"/>
    <s v="Sarah Miller"/>
    <s v=" SAL05 "/>
    <s v="SAL05"/>
    <x v="4"/>
    <d v="2019-02-17T00:00:00"/>
    <n v="7"/>
    <n v="95686"/>
    <n v="95686"/>
    <n v="91"/>
    <x v="3"/>
    <s v="Active"/>
    <n v="0"/>
    <x v="0"/>
    <s v="0.08"/>
    <n v="7654.88"/>
  </r>
  <r>
    <s v="EMP009"/>
    <s v="Jessica Smith"/>
    <s v="SAL05"/>
    <s v="SAL05"/>
    <x v="4"/>
    <d v="2016-09-12T00:00:00"/>
    <n v="9"/>
    <n v="114681"/>
    <n v="114681"/>
    <n v="36"/>
    <x v="1"/>
    <s v="Active "/>
    <n v="0"/>
    <x v="0"/>
    <s v="0"/>
    <n v="0"/>
  </r>
  <r>
    <s v="EMP014"/>
    <s v="Thomas Jones"/>
    <s v=" OPS06 "/>
    <s v="OPS06"/>
    <x v="3"/>
    <d v="2021-08-13T00:00:00"/>
    <n v="4"/>
    <n v="109121"/>
    <n v="109121"/>
    <n v="72"/>
    <x v="2"/>
    <s v="Active"/>
    <n v="0"/>
    <x v="0"/>
    <s v="0.05"/>
    <n v="5456.05"/>
  </r>
  <r>
    <s v="EMP060"/>
    <s v="Amanda Brown"/>
    <s v="MKT04"/>
    <s v="MKT04"/>
    <x v="1"/>
    <d v="2020-06-14T00:00:00"/>
    <n v="6"/>
    <n v="112791"/>
    <n v="112791"/>
    <n v="87"/>
    <x v="3"/>
    <s v="Active"/>
    <n v="0"/>
    <x v="0"/>
    <s v="0.08"/>
    <n v="9023.2800000000007"/>
  </r>
  <r>
    <s v="EMP135"/>
    <s v="Robert Martinez"/>
    <s v=" IT02 "/>
    <s v="IT02"/>
    <x v="0"/>
    <d v="2022-07-05T00:00:00"/>
    <n v="4"/>
    <n v="118008"/>
    <n v="118008"/>
    <n v="71"/>
    <x v="2"/>
    <s v="Active"/>
    <n v="0"/>
    <x v="0"/>
    <s v="0.05"/>
    <n v="5900.4000000000005"/>
  </r>
  <r>
    <s v="EMP004"/>
    <s v="Thomas Miller"/>
    <s v="IT02"/>
    <s v="IT02"/>
    <x v="0"/>
    <d v="2016-07-10T00:00:00"/>
    <n v="9"/>
    <n v="74370"/>
    <n v="74370"/>
    <n v="82"/>
    <x v="2"/>
    <s v="Active"/>
    <n v="0"/>
    <x v="0"/>
    <s v="0.05"/>
    <n v="3718.5"/>
  </r>
  <r>
    <s v="EMP018"/>
    <s v="David Rodriguez"/>
    <s v=" IT02 "/>
    <s v="IT02"/>
    <x v="0"/>
    <d v="2022-04-23T00:00:00"/>
    <n v="4"/>
    <n v="77819"/>
    <n v="77819"/>
    <n v="79"/>
    <x v="2"/>
    <s v="Active "/>
    <n v="0"/>
    <x v="0"/>
    <s v="0.05"/>
    <n v="3890.9500000000003"/>
  </r>
  <r>
    <s v="EMP039"/>
    <s v="Jane Miller"/>
    <s v=" MKT04 "/>
    <s v="MKT04"/>
    <x v="1"/>
    <d v="2017-05-10T00:00:00"/>
    <n v="9"/>
    <n v="48748"/>
    <n v="48748"/>
    <n v="83"/>
    <x v="2"/>
    <s v="Active"/>
    <n v="0"/>
    <x v="0"/>
    <s v="0.05"/>
    <n v="2437.4"/>
  </r>
  <r>
    <s v="EMP073"/>
    <s v="James Rodriguez"/>
    <s v="OPS06"/>
    <s v="OPS06"/>
    <x v="3"/>
    <d v="2020-05-20T00:00:00"/>
    <n v="6"/>
    <n v="101997"/>
    <n v="101997"/>
    <n v="38"/>
    <x v="1"/>
    <s v="Resigned"/>
    <n v="1"/>
    <x v="1"/>
    <s v="0"/>
    <n v="0"/>
  </r>
  <r>
    <s v="EMP138"/>
    <s v="Sarah Rodriguez"/>
    <s v="HR01"/>
    <s v="HR01"/>
    <x v="5"/>
    <d v="2023-04-20T00:00:00"/>
    <n v="3"/>
    <n v="115260"/>
    <n v="115260"/>
    <n v="77"/>
    <x v="2"/>
    <s v="Active"/>
    <n v="0"/>
    <x v="0"/>
    <s v="0.05"/>
    <n v="5763"/>
  </r>
  <r>
    <s v="EMP007"/>
    <s v="Sarah Wilson"/>
    <s v="SAL05"/>
    <s v="SAL05"/>
    <x v="4"/>
    <d v="2021-10-31T00:00:00"/>
    <n v="4"/>
    <m/>
    <n v="81205"/>
    <n v="49"/>
    <x v="1"/>
    <s v="Active"/>
    <n v="0"/>
    <x v="0"/>
    <s v="0"/>
    <n v="0"/>
  </r>
  <r>
    <s v="EMP144"/>
    <s v="Melissa Brown"/>
    <s v=" IT02 "/>
    <s v="IT02"/>
    <x v="0"/>
    <d v="2021-10-24T00:00:00"/>
    <n v="4"/>
    <m/>
    <n v="77819"/>
    <n v="69"/>
    <x v="0"/>
    <s v="Left"/>
    <n v="1"/>
    <x v="1"/>
    <s v="0.02"/>
    <n v="0"/>
  </r>
  <r>
    <s v="EMP101"/>
    <s v="Robert Williams"/>
    <s v="SAL05"/>
    <s v="SAL05"/>
    <x v="4"/>
    <d v="2017-08-09T00:00:00"/>
    <n v="8"/>
    <m/>
    <n v="81205"/>
    <n v="76"/>
    <x v="2"/>
    <s v="Active"/>
    <n v="0"/>
    <x v="0"/>
    <s v="0.05"/>
    <n v="0"/>
  </r>
  <r>
    <s v="EMP003"/>
    <s v="Melissa Rodriguez"/>
    <s v="OPS06"/>
    <s v="OPS06"/>
    <x v="3"/>
    <d v="2023-01-04T00:00:00"/>
    <n v="3"/>
    <n v="60623"/>
    <n v="60623"/>
    <n v="78"/>
    <x v="2"/>
    <s v="Active"/>
    <n v="0"/>
    <x v="0"/>
    <s v="0.05"/>
    <n v="3031.15"/>
  </r>
  <r>
    <s v="EMP121"/>
    <s v="James Johnson"/>
    <s v=" HR01 "/>
    <s v="HR01"/>
    <x v="5"/>
    <d v="2020-08-10T00:00:00"/>
    <n v="5"/>
    <n v="68092"/>
    <n v="68092"/>
    <n v="93"/>
    <x v="3"/>
    <s v="Active"/>
    <n v="0"/>
    <x v="0"/>
    <s v="0.08"/>
    <n v="5447.36"/>
  </r>
  <r>
    <s v="EMP064"/>
    <s v="Michael Wilson"/>
    <s v="MKT04"/>
    <s v="MKT04"/>
    <x v="1"/>
    <d v="2022-04-02T00:00:00"/>
    <n v="4"/>
    <n v="88155"/>
    <n v="88155"/>
    <n v="68"/>
    <x v="0"/>
    <s v="Active"/>
    <n v="0"/>
    <x v="0"/>
    <s v="0.02"/>
    <n v="1763.1000000000001"/>
  </r>
  <r>
    <s v="EMP116"/>
    <s v="William Jones"/>
    <s v="MKT04"/>
    <s v="MKT04"/>
    <x v="1"/>
    <d v="2018-03-24T00:00:00"/>
    <n v="8"/>
    <n v="107903"/>
    <n v="107903"/>
    <n v="42"/>
    <x v="1"/>
    <s v="Active "/>
    <n v="0"/>
    <x v="0"/>
    <s v="0"/>
    <n v="0"/>
  </r>
  <r>
    <s v="EMP055"/>
    <s v="William Williams"/>
    <s v="IT02"/>
    <s v="IT02"/>
    <x v="0"/>
    <d v="2018-07-24T00:00:00"/>
    <n v="7"/>
    <n v="62818"/>
    <n v="62818"/>
    <n v="34"/>
    <x v="1"/>
    <s v="Active "/>
    <n v="0"/>
    <x v="0"/>
    <s v="0"/>
    <n v="0"/>
  </r>
  <r>
    <s v="EMP108"/>
    <s v="David Williams"/>
    <s v=" HR01 "/>
    <s v="HR01"/>
    <x v="5"/>
    <d v="2018-07-20T00:00:00"/>
    <n v="7"/>
    <n v="85151"/>
    <n v="85151"/>
    <n v="35"/>
    <x v="1"/>
    <s v="Active "/>
    <n v="0"/>
    <x v="0"/>
    <s v="0"/>
    <n v="0"/>
  </r>
  <r>
    <s v="EMP051"/>
    <s v="Jane Davis"/>
    <s v=" FIN03 "/>
    <s v="FIN03"/>
    <x v="2"/>
    <d v="2016-03-04T00:00:00"/>
    <n v="10"/>
    <n v="46390"/>
    <n v="46390"/>
    <n v="95"/>
    <x v="4"/>
    <s v="Active"/>
    <n v="0"/>
    <x v="0"/>
    <s v="0.12"/>
    <n v="5566.8"/>
  </r>
  <r>
    <s v="EMP059"/>
    <s v="John Martinez"/>
    <s v=" HR01 "/>
    <s v="HR01"/>
    <x v="5"/>
    <d v="2022-03-23T00:00:00"/>
    <n v="4"/>
    <n v="111920"/>
    <n v="111920"/>
    <n v="90"/>
    <x v="3"/>
    <s v="Left"/>
    <n v="1"/>
    <x v="1"/>
    <s v="0.08"/>
    <n v="8953.6"/>
  </r>
  <r>
    <s v="EMP049"/>
    <s v="David Anderson"/>
    <s v="HR01"/>
    <s v="HR01"/>
    <x v="5"/>
    <d v="2017-07-28T00:00:00"/>
    <n v="8"/>
    <n v="115618"/>
    <n v="115618"/>
    <n v="42"/>
    <x v="1"/>
    <s v="Active "/>
    <n v="0"/>
    <x v="0"/>
    <s v="0"/>
    <n v="0"/>
  </r>
  <r>
    <s v="EMP089"/>
    <s v="Sarah Smith"/>
    <s v="SAL05"/>
    <s v="SAL05"/>
    <x v="4"/>
    <d v="2023-05-11T00:00:00"/>
    <n v="3"/>
    <n v="110618"/>
    <n v="110618"/>
    <n v="88"/>
    <x v="3"/>
    <s v="Resigned"/>
    <n v="1"/>
    <x v="1"/>
    <s v="0.08"/>
    <n v="8849.44"/>
  </r>
  <r>
    <s v="EMP022"/>
    <s v="Melissa Hernandez"/>
    <s v=" OPS06 "/>
    <s v="OPS06"/>
    <x v="3"/>
    <d v="2022-03-19T00:00:00"/>
    <n v="4"/>
    <n v="108395"/>
    <n v="108395"/>
    <n v="78"/>
    <x v="2"/>
    <s v="Left"/>
    <n v="1"/>
    <x v="1"/>
    <s v="0.05"/>
    <n v="5419.75"/>
  </r>
  <r>
    <s v="EMP058"/>
    <s v="Melissa Johnson"/>
    <s v="FIN03"/>
    <s v="FIN03"/>
    <x v="2"/>
    <d v="2017-12-22T00:00:00"/>
    <n v="8"/>
    <n v="88005"/>
    <n v="88005"/>
    <n v="69"/>
    <x v="0"/>
    <s v="Active"/>
    <n v="0"/>
    <x v="0"/>
    <s v="0.02"/>
    <n v="1760.1000000000001"/>
  </r>
  <r>
    <s v="EMP130"/>
    <s v="Jane Garcia"/>
    <s v=" MKT04 "/>
    <s v="MKT04"/>
    <x v="1"/>
    <d v="2021-08-29T00:00:00"/>
    <n v="4"/>
    <n v="83007"/>
    <n v="83007"/>
    <n v="82"/>
    <x v="2"/>
    <s v="Active"/>
    <n v="0"/>
    <x v="0"/>
    <s v="0.05"/>
    <n v="4150.3500000000004"/>
  </r>
  <r>
    <s v="EMP038"/>
    <s v="David Davis"/>
    <s v="IT02"/>
    <s v="IT02"/>
    <x v="0"/>
    <d v="2018-09-17T00:00:00"/>
    <n v="7"/>
    <n v="61547"/>
    <n v="61547"/>
    <n v="68"/>
    <x v="0"/>
    <s v="Active "/>
    <n v="0"/>
    <x v="0"/>
    <s v="0.02"/>
    <n v="1230.94"/>
  </r>
  <r>
    <s v="EMP148"/>
    <s v="James Wilson"/>
    <s v="SAL05"/>
    <s v="SAL05"/>
    <x v="4"/>
    <d v="2021-06-28T00:00:00"/>
    <n v="5"/>
    <m/>
    <n v="81205"/>
    <n v="52"/>
    <x v="0"/>
    <s v="Active"/>
    <n v="0"/>
    <x v="0"/>
    <s v="0.02"/>
    <n v="0"/>
  </r>
  <r>
    <s v="EMP002"/>
    <s v="Richard Johnson"/>
    <s v="OPS06"/>
    <s v="OPS06"/>
    <x v="3"/>
    <d v="2017-10-03T00:00:00"/>
    <n v="8"/>
    <n v="50399"/>
    <n v="50399"/>
    <n v="92"/>
    <x v="3"/>
    <s v="Left"/>
    <n v="1"/>
    <x v="1"/>
    <s v="0.08"/>
    <n v="4031.92"/>
  </r>
  <r>
    <s v="EMP053"/>
    <s v="Richard Williams"/>
    <s v="FIN03"/>
    <s v="FIN03"/>
    <x v="2"/>
    <d v="2015-10-22T00:00:00"/>
    <n v="10"/>
    <m/>
    <n v="93152"/>
    <n v="62"/>
    <x v="0"/>
    <s v="Active "/>
    <n v="0"/>
    <x v="0"/>
    <s v="0.02"/>
    <n v="0"/>
  </r>
  <r>
    <s v="EMP131"/>
    <s v="John Hernandez"/>
    <s v="OPS06"/>
    <s v="OPS06"/>
    <x v="3"/>
    <d v="2018-06-06T00:00:00"/>
    <n v="8"/>
    <n v="52720"/>
    <n v="52720"/>
    <n v="68"/>
    <x v="0"/>
    <s v="Active "/>
    <n v="0"/>
    <x v="0"/>
    <s v="0.02"/>
    <n v="1054.4000000000001"/>
  </r>
  <r>
    <s v="EMP104"/>
    <s v="Sarah Gonzalez"/>
    <s v="OPS06"/>
    <s v="OPS06"/>
    <x v="3"/>
    <d v="2017-07-16T00:00:00"/>
    <n v="8"/>
    <n v="65065"/>
    <n v="65065"/>
    <n v="98"/>
    <x v="4"/>
    <s v="Active"/>
    <n v="0"/>
    <x v="0"/>
    <s v="0.12"/>
    <n v="7807.7999999999993"/>
  </r>
  <r>
    <s v="EMP100"/>
    <s v="Melissa Hernandez"/>
    <s v="SAL05"/>
    <s v="SAL05"/>
    <x v="4"/>
    <d v="2015-06-20T00:00:00"/>
    <n v="11"/>
    <m/>
    <n v="81205"/>
    <n v="94"/>
    <x v="3"/>
    <s v="Resigned"/>
    <n v="1"/>
    <x v="1"/>
    <s v="0.08"/>
    <n v="0"/>
  </r>
  <r>
    <s v="EMP117"/>
    <s v="Melissa Hernandez"/>
    <s v=" OPS06 "/>
    <s v="OPS06"/>
    <x v="3"/>
    <d v="2019-05-24T00:00:00"/>
    <n v="7"/>
    <n v="108119"/>
    <n v="108119"/>
    <n v="57"/>
    <x v="0"/>
    <s v="Resigned"/>
    <n v="1"/>
    <x v="1"/>
    <s v="0.02"/>
    <n v="2162.38"/>
  </r>
  <r>
    <s v="EMP088"/>
    <s v="John Davis"/>
    <s v="IT02"/>
    <s v="IT02"/>
    <x v="0"/>
    <d v="2020-02-26T00:00:00"/>
    <n v="6"/>
    <m/>
    <n v="77819"/>
    <n v="96"/>
    <x v="4"/>
    <s v="Active"/>
    <n v="0"/>
    <x v="0"/>
    <s v="0.12"/>
    <n v="0"/>
  </r>
  <r>
    <s v="EMP075"/>
    <s v="Richard Davis"/>
    <s v="HR01"/>
    <s v="HR01"/>
    <x v="5"/>
    <d v="2023-03-06T00:00:00"/>
    <n v="3"/>
    <n v="106896"/>
    <n v="106896"/>
    <n v="52"/>
    <x v="0"/>
    <s v="Left"/>
    <n v="1"/>
    <x v="1"/>
    <s v="0.02"/>
    <n v="2137.92"/>
  </r>
  <r>
    <s v="EMP122"/>
    <s v="Jones"/>
    <s v=" IT02 "/>
    <s v="IT02"/>
    <x v="0"/>
    <d v="2019-01-12T00:00:00"/>
    <n v="7"/>
    <n v="112887"/>
    <n v="112887"/>
    <n v="59"/>
    <x v="0"/>
    <s v="Active"/>
    <n v="0"/>
    <x v="0"/>
    <s v="0.02"/>
    <n v="2257.7400000000002"/>
  </r>
  <r>
    <s v="EMP021"/>
    <s v="William Rodriguez"/>
    <s v="FIN03"/>
    <s v="FIN03"/>
    <x v="2"/>
    <d v="2023-04-21T00:00:00"/>
    <n v="3"/>
    <n v="85457"/>
    <n v="85457"/>
    <n v="79"/>
    <x v="2"/>
    <s v="Active "/>
    <n v="0"/>
    <x v="0"/>
    <s v="0.05"/>
    <n v="4272.8500000000004"/>
  </r>
  <r>
    <s v="EMP072"/>
    <s v="Melissa Miller"/>
    <s v="SAL05"/>
    <s v="SAL05"/>
    <x v="4"/>
    <d v="2016-05-29T00:00:00"/>
    <n v="10"/>
    <n v="62798"/>
    <n v="62798"/>
    <n v="30"/>
    <x v="1"/>
    <s v="Active "/>
    <n v="0"/>
    <x v="0"/>
    <s v="0"/>
    <n v="0"/>
  </r>
  <r>
    <s v="EMP107"/>
    <s v="Emily Martinez"/>
    <s v="OPS06"/>
    <s v="OPS06"/>
    <x v="3"/>
    <d v="2022-05-30T00:00:00"/>
    <n v="4"/>
    <n v="47794"/>
    <n v="47794"/>
    <n v="73"/>
    <x v="2"/>
    <s v="Left"/>
    <n v="1"/>
    <x v="1"/>
    <s v="0.05"/>
    <n v="2389.7000000000003"/>
  </r>
  <r>
    <s v="EMP093"/>
    <s v="James Rodriguez"/>
    <s v="MKT04"/>
    <s v="MKT04"/>
    <x v="1"/>
    <d v="2016-11-03T00:00:00"/>
    <n v="9"/>
    <n v="93094"/>
    <n v="93094"/>
    <n v="74"/>
    <x v="2"/>
    <s v="Active"/>
    <n v="0"/>
    <x v="0"/>
    <s v="0.05"/>
    <n v="4654.7"/>
  </r>
  <r>
    <s v="EMP103"/>
    <s v="Amanda Brown"/>
    <s v="IT02"/>
    <s v="IT02"/>
    <x v="0"/>
    <d v="2022-10-14T00:00:00"/>
    <n v="3"/>
    <n v="118634"/>
    <n v="118634"/>
    <n v="91"/>
    <x v="3"/>
    <s v="Active "/>
    <n v="0"/>
    <x v="0"/>
    <s v="0.08"/>
    <n v="9490.7199999999993"/>
  </r>
  <r>
    <m/>
    <m/>
    <m/>
    <s v=""/>
    <x v="6"/>
    <m/>
    <n v="126"/>
    <m/>
    <e v="#N/A"/>
    <m/>
    <x v="1"/>
    <m/>
    <n v="0"/>
    <x v="0"/>
    <s v="0"/>
    <n v="0"/>
  </r>
  <r>
    <m/>
    <m/>
    <m/>
    <s v=""/>
    <x v="6"/>
    <m/>
    <n v="126"/>
    <m/>
    <e v="#N/A"/>
    <m/>
    <x v="1"/>
    <m/>
    <n v="0"/>
    <x v="0"/>
    <s v="0"/>
    <n v="0"/>
  </r>
  <r>
    <m/>
    <m/>
    <m/>
    <s v=""/>
    <x v="6"/>
    <m/>
    <n v="126"/>
    <m/>
    <e v="#N/A"/>
    <m/>
    <x v="1"/>
    <m/>
    <n v="0"/>
    <x v="0"/>
    <s v="0"/>
    <n v="0"/>
  </r>
  <r>
    <m/>
    <m/>
    <m/>
    <s v=""/>
    <x v="6"/>
    <m/>
    <n v="126"/>
    <m/>
    <e v="#N/A"/>
    <m/>
    <x v="1"/>
    <m/>
    <n v="0"/>
    <x v="0"/>
    <s v="0"/>
    <n v="0"/>
  </r>
  <r>
    <m/>
    <m/>
    <m/>
    <s v=""/>
    <x v="6"/>
    <m/>
    <n v="126"/>
    <m/>
    <e v="#N/A"/>
    <m/>
    <x v="1"/>
    <m/>
    <n v="0"/>
    <x v="0"/>
    <s v="0"/>
    <n v="0"/>
  </r>
  <r>
    <m/>
    <m/>
    <m/>
    <s v=""/>
    <x v="6"/>
    <m/>
    <n v="126"/>
    <m/>
    <e v="#N/A"/>
    <m/>
    <x v="1"/>
    <m/>
    <n v="0"/>
    <x v="0"/>
    <s v="0"/>
    <n v="0"/>
  </r>
  <r>
    <m/>
    <m/>
    <m/>
    <s v=""/>
    <x v="6"/>
    <m/>
    <n v="126"/>
    <m/>
    <e v="#N/A"/>
    <m/>
    <x v="1"/>
    <m/>
    <n v="0"/>
    <x v="0"/>
    <s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Brown"/>
    <s v="IT02"/>
    <s v="IT02"/>
    <s v="Information Technology"/>
    <d v="2017-12-24T00:00:00"/>
    <n v="8"/>
    <n v="50361"/>
    <n v="50361"/>
    <n v="52"/>
    <s v="Developing"/>
    <s v="Active"/>
    <n v="0"/>
    <s v="Active"/>
    <s v="0.02"/>
    <n v="1007.22"/>
  </r>
  <r>
    <s v="EMP046"/>
    <s v="Richard Hernandez"/>
    <s v="MKT04"/>
    <s v="MKT04"/>
    <s v="Marketing"/>
    <d v="2022-04-08T00:00:00"/>
    <n v="4"/>
    <n v="112673"/>
    <n v="112673"/>
    <m/>
    <s v="Needs Improvement"/>
    <s v=" ACTIVE "/>
    <n v="0"/>
    <s v="Active"/>
    <s v="0"/>
    <n v="0"/>
  </r>
  <r>
    <s v="EMP134"/>
    <s v="Emily Gonzalez"/>
    <s v=" IT02 "/>
    <s v="IT02"/>
    <s v="Information Technology"/>
    <d v="2016-03-02T00:00:00"/>
    <n v="10"/>
    <n v="114425"/>
    <n v="114425"/>
    <n v="54"/>
    <s v="Developing"/>
    <s v="Left"/>
    <n v="1"/>
    <s v="Left"/>
    <s v="0.02"/>
    <n v="2288.5"/>
  </r>
  <r>
    <s v="EMP139"/>
    <s v="John Martinez"/>
    <s v="FIN03"/>
    <s v="FIN03"/>
    <s v="Finance"/>
    <d v="2023-07-03T00:00:00"/>
    <n v="3"/>
    <n v="103831"/>
    <n v="103831"/>
    <n v="70"/>
    <s v="Achieving"/>
    <s v="Active"/>
    <n v="0"/>
    <s v="Active"/>
    <s v="0.05"/>
    <n v="5191.55"/>
  </r>
  <r>
    <s v="EMP112"/>
    <s v="Thomas Smith"/>
    <s v="IT02"/>
    <s v="IT02"/>
    <s v="Information Technology"/>
    <d v="2023-02-20T00:00:00"/>
    <n v="3"/>
    <n v="73785"/>
    <n v="73785"/>
    <n v="40"/>
    <s v="Needs Improvement"/>
    <s v="Left"/>
    <n v="1"/>
    <s v="Left"/>
    <s v="0"/>
    <n v="0"/>
  </r>
  <r>
    <s v="EMP030"/>
    <s v="Emily Johnson"/>
    <s v="OPS06"/>
    <s v="OPS06"/>
    <s v="Operations"/>
    <d v="2020-03-02T00:00:00"/>
    <n v="6"/>
    <n v="115882"/>
    <n v="115882"/>
    <n v="49"/>
    <s v="Needs Improvement"/>
    <s v="Active "/>
    <n v="0"/>
    <s v="Active"/>
    <s v="0"/>
    <n v="0"/>
  </r>
  <r>
    <s v="EMP096"/>
    <s v="John Wilson"/>
    <s v=" OPS06 "/>
    <s v="OPS06"/>
    <s v="Operations"/>
    <d v="2023-12-12T00:00:00"/>
    <n v="2"/>
    <n v="59980"/>
    <n v="59980"/>
    <n v="70"/>
    <s v="Achieving"/>
    <s v="Left"/>
    <n v="1"/>
    <s v="Left"/>
    <s v="0.05"/>
    <n v="2999"/>
  </r>
  <r>
    <s v="EMP098"/>
    <s v="Jessica Smith"/>
    <s v=" OPS06 "/>
    <s v="OPS06"/>
    <s v="Operations"/>
    <d v="2020-12-09T00:00:00"/>
    <n v="5"/>
    <n v="68728"/>
    <n v="68728"/>
    <n v="45"/>
    <s v="Needs Improvement"/>
    <s v="Active "/>
    <n v="0"/>
    <s v="Active"/>
    <s v="0"/>
    <n v="0"/>
  </r>
  <r>
    <s v="EMP095"/>
    <s v="Rodriguez"/>
    <s v="FIN03"/>
    <s v="FIN03"/>
    <s v="Finance"/>
    <d v="2018-01-07T00:00:00"/>
    <n v="8"/>
    <n v="102139"/>
    <n v="102139"/>
    <n v="79"/>
    <s v="Achieving"/>
    <s v="Active"/>
    <n v="0"/>
    <s v="Active"/>
    <s v="0.05"/>
    <n v="5106.9500000000007"/>
  </r>
  <r>
    <s v="EMP140"/>
    <s v="Michael Martinez"/>
    <s v="SAL05"/>
    <s v="SAL05"/>
    <s v="Sales"/>
    <d v="2016-11-02T00:00:00"/>
    <n v="9"/>
    <n v="94998"/>
    <n v="94998"/>
    <n v="58"/>
    <s v="Developing"/>
    <s v="Active"/>
    <n v="0"/>
    <s v="Active"/>
    <s v="0.02"/>
    <n v="1899.96"/>
  </r>
  <r>
    <s v="EMP020"/>
    <s v="Emily Miller"/>
    <s v="SAL05"/>
    <s v="SAL05"/>
    <s v="Sales"/>
    <d v="2020-03-21T00:00:00"/>
    <n v="6"/>
    <n v="118635"/>
    <n v="118635"/>
    <n v="49"/>
    <s v="Needs Improvement"/>
    <s v="Active"/>
    <n v="0"/>
    <s v="Active"/>
    <s v="0"/>
    <n v="0"/>
  </r>
  <r>
    <s v="EMP057"/>
    <s v="Emily Hernandez"/>
    <s v="IT02"/>
    <s v="IT02"/>
    <s v="Information Technology"/>
    <d v="2016-02-25T00:00:00"/>
    <n v="10"/>
    <n v="76918"/>
    <n v="76918"/>
    <n v="62"/>
    <s v="Developing"/>
    <s v="Active"/>
    <n v="0"/>
    <s v="Active"/>
    <s v="0.02"/>
    <n v="1538.3600000000001"/>
  </r>
  <r>
    <s v="EMP016"/>
    <s v="Jane Williams"/>
    <s v="MKT04"/>
    <s v="MKT04"/>
    <s v="Marketing"/>
    <d v="2021-06-17T00:00:00"/>
    <n v="5"/>
    <n v="61408"/>
    <n v="61408"/>
    <n v="48"/>
    <s v="Needs Improvement"/>
    <s v="Active "/>
    <n v="0"/>
    <s v="Active"/>
    <s v="0"/>
    <n v="0"/>
  </r>
  <r>
    <s v="EMP070"/>
    <s v="Jane Miller"/>
    <s v="MKT04"/>
    <s v="MKT04"/>
    <s v="Marketing"/>
    <d v="2020-06-19T00:00:00"/>
    <n v="6"/>
    <n v="99990"/>
    <n v="99990"/>
    <n v="54"/>
    <s v="Developing"/>
    <s v="Active"/>
    <n v="0"/>
    <s v="Active"/>
    <s v="0.02"/>
    <n v="1999.8"/>
  </r>
  <r>
    <s v="EMP025"/>
    <s v="Robert Jones"/>
    <s v=" MKT04 "/>
    <s v="MKT04"/>
    <s v="Marketing"/>
    <d v="2019-12-21T00:00:00"/>
    <n v="6"/>
    <n v="80385"/>
    <n v="80385"/>
    <m/>
    <s v="Needs Improvement"/>
    <s v="Active"/>
    <n v="0"/>
    <s v="Active"/>
    <s v="0"/>
    <n v="0"/>
  </r>
  <r>
    <s v="EMP031"/>
    <s v="Thomas Rodriguez"/>
    <s v="SAL05"/>
    <s v="SAL05"/>
    <s v="Sales"/>
    <d v="2023-08-31T00:00:00"/>
    <n v="2"/>
    <n v="65290"/>
    <n v="65290"/>
    <n v="77"/>
    <s v="Achieving"/>
    <s v="Active"/>
    <n v="0"/>
    <s v="Active"/>
    <s v="0.05"/>
    <n v="3264.5"/>
  </r>
  <r>
    <s v="EMP126"/>
    <s v="Emily Davis"/>
    <s v="IT02"/>
    <s v="IT02"/>
    <s v="Information Technology"/>
    <d v="2015-11-29T00:00:00"/>
    <n v="10"/>
    <n v="105765"/>
    <n v="105765"/>
    <n v="42"/>
    <s v="Needs Improvement"/>
    <s v="Active"/>
    <n v="0"/>
    <s v="Active"/>
    <s v="0"/>
    <n v="0"/>
  </r>
  <r>
    <s v="EMP109"/>
    <s v="James Martinez"/>
    <s v="SAL05"/>
    <s v="SAL05"/>
    <s v="Sales"/>
    <d v="2017-06-13T00:00:00"/>
    <n v="9"/>
    <n v="102921"/>
    <n v="102921"/>
    <n v="49"/>
    <s v="Needs Improvement"/>
    <s v="Active "/>
    <n v="0"/>
    <s v="Active"/>
    <s v="0"/>
    <n v="0"/>
  </r>
  <r>
    <s v="EMP066"/>
    <s v="Ashley Lopez"/>
    <s v="MKT04"/>
    <s v="MKT04"/>
    <s v="Marketing"/>
    <d v="2018-05-15T00:00:00"/>
    <n v="8"/>
    <n v="73984"/>
    <n v="73984"/>
    <n v="93"/>
    <s v="Exceeding"/>
    <s v="Active"/>
    <n v="0"/>
    <s v="Active"/>
    <s v="0.08"/>
    <n v="5918.72"/>
  </r>
  <r>
    <s v="EMP120"/>
    <s v="Amanda Gonzalez"/>
    <s v="IT02"/>
    <s v="IT02"/>
    <s v="Information Technology"/>
    <d v="2016-07-24T00:00:00"/>
    <n v="9"/>
    <s v=""/>
    <n v="77819"/>
    <n v="75"/>
    <s v="Achieving"/>
    <s v="Active"/>
    <n v="0"/>
    <s v="Active"/>
    <s v="0.05"/>
    <n v="0"/>
  </r>
  <r>
    <s v="EMP019"/>
    <s v="Michael Hernandez"/>
    <s v="FIN03"/>
    <s v="FIN03"/>
    <s v="Finance"/>
    <d v="2017-12-07T00:00:00"/>
    <n v="8"/>
    <n v="118527"/>
    <n v="118527"/>
    <n v="50"/>
    <s v="Developing"/>
    <s v="Active"/>
    <n v="0"/>
    <s v="Active"/>
    <s v="0.02"/>
    <n v="2370.54"/>
  </r>
  <r>
    <s v="EMP013"/>
    <s v="Richard Hernandez"/>
    <s v="MKT04"/>
    <s v="MKT04"/>
    <s v="Marketing"/>
    <d v="2021-06-06T00:00:00"/>
    <n v="5"/>
    <n v="107871"/>
    <n v="107871"/>
    <n v="88"/>
    <s v="Exceeding"/>
    <s v="Active"/>
    <n v="0"/>
    <s v="Active"/>
    <s v="0.08"/>
    <n v="8629.68"/>
  </r>
  <r>
    <s v="EMP010"/>
    <s v="Michael Rodriguez"/>
    <s v=" IT02 "/>
    <s v="IT02"/>
    <s v="Information Technology"/>
    <d v="2022-09-11T00:00:00"/>
    <n v="3"/>
    <n v="93956"/>
    <n v="93956"/>
    <n v="50"/>
    <s v="Developing"/>
    <s v="Left"/>
    <n v="1"/>
    <s v="Left"/>
    <s v="0.02"/>
    <n v="1879.1200000000001"/>
  </r>
  <r>
    <s v="EMP032"/>
    <s v="Jessica Johnson"/>
    <s v=" FIN03 "/>
    <s v="FIN03"/>
    <s v="Finance"/>
    <d v="2016-07-14T00:00:00"/>
    <n v="9"/>
    <n v="100851"/>
    <n v="100851"/>
    <n v="64"/>
    <s v="Developing"/>
    <s v="Active "/>
    <n v="0"/>
    <s v="Active"/>
    <s v="0.02"/>
    <n v="2017.02"/>
  </r>
  <r>
    <s v="EMP082"/>
    <s v="Ashley Williams"/>
    <s v="SAL05"/>
    <s v="SAL05"/>
    <s v="Sales"/>
    <d v="2022-06-16T00:00:00"/>
    <n v="4"/>
    <n v="68655"/>
    <n v="68655"/>
    <n v="32"/>
    <s v="Needs Improvement"/>
    <s v="Active"/>
    <n v="0"/>
    <s v="Active"/>
    <s v="0"/>
    <n v="0"/>
  </r>
  <r>
    <s v="EMP052"/>
    <s v="Williams"/>
    <s v=" SAL05 "/>
    <s v="SAL05"/>
    <s v="Sales"/>
    <d v="2023-07-27T00:00:00"/>
    <n v="2"/>
    <n v="81205"/>
    <n v="81205"/>
    <n v="59"/>
    <s v="Developing"/>
    <s v="Active"/>
    <n v="0"/>
    <s v="Active"/>
    <s v="0.02"/>
    <n v="1624.1000000000001"/>
  </r>
  <r>
    <s v="EMP129"/>
    <s v="John Wilson"/>
    <s v="SAL05"/>
    <s v="SAL05"/>
    <s v="Sales"/>
    <d v="2019-09-24T00:00:00"/>
    <n v="6"/>
    <n v="77610"/>
    <n v="77610"/>
    <n v="88"/>
    <s v="Exceeding"/>
    <s v="Active"/>
    <n v="0"/>
    <s v="Active"/>
    <s v="0.08"/>
    <n v="6208.8"/>
  </r>
  <r>
    <s v="EMP146"/>
    <s v="Thomas Rodriguez"/>
    <s v="IT02"/>
    <s v="IT02"/>
    <s v="Information Technology"/>
    <d v="2022-07-23T00:00:00"/>
    <n v="3"/>
    <n v="50873"/>
    <n v="50873"/>
    <n v="90"/>
    <s v="Exceeding"/>
    <s v="Active"/>
    <n v="0"/>
    <s v="Active"/>
    <s v="0.08"/>
    <n v="4069.84"/>
  </r>
  <r>
    <s v="EMP099"/>
    <s v="Michael Wilson"/>
    <s v="FIN03"/>
    <s v="FIN03"/>
    <s v="Finance"/>
    <d v="2018-05-13T00:00:00"/>
    <n v="8"/>
    <n v="85312"/>
    <n v="85312"/>
    <n v="66"/>
    <s v="Developing"/>
    <s v="Active"/>
    <n v="0"/>
    <s v="Active"/>
    <s v="0.02"/>
    <n v="1706.24"/>
  </r>
  <r>
    <s v="EMP015"/>
    <s v="John Rodriguez"/>
    <s v="SAL05"/>
    <s v="SAL05"/>
    <s v="Sales"/>
    <d v="2015-07-17T00:00:00"/>
    <n v="10"/>
    <m/>
    <n v="81205"/>
    <n v="68"/>
    <s v="Developing"/>
    <s v="Active"/>
    <n v="0"/>
    <s v="Active"/>
    <s v="0.02"/>
    <n v="0"/>
  </r>
  <r>
    <s v="EMP076"/>
    <s v="Thomas Hernandez"/>
    <s v="OPS06"/>
    <s v="OPS06"/>
    <s v="Operations"/>
    <d v="2015-08-05T00:00:00"/>
    <n v="10"/>
    <n v="97055"/>
    <n v="97055"/>
    <n v="80"/>
    <s v="Achieving"/>
    <s v="Active"/>
    <n v="0"/>
    <s v="Active"/>
    <s v="0.05"/>
    <n v="4852.75"/>
  </r>
  <r>
    <s v="EMP137"/>
    <s v="Michael Johnson"/>
    <s v="IT02"/>
    <s v="IT02"/>
    <s v="Information Technology"/>
    <d v="2023-09-26T00:00:00"/>
    <n v="2"/>
    <n v="66069"/>
    <n v="66069"/>
    <n v="72"/>
    <s v="Achieving"/>
    <s v="Active"/>
    <n v="0"/>
    <s v="Active"/>
    <s v="0.05"/>
    <n v="3303.4500000000003"/>
  </r>
  <r>
    <s v="EMP056"/>
    <s v="Sarah Brown"/>
    <s v="IT02"/>
    <s v="IT02"/>
    <s v="Information Technology"/>
    <d v="2019-06-10T00:00:00"/>
    <n v="7"/>
    <n v="90157"/>
    <n v="90157"/>
    <n v="58"/>
    <s v="Developing"/>
    <s v="Active"/>
    <n v="0"/>
    <s v="Active"/>
    <s v="0.02"/>
    <n v="1803.14"/>
  </r>
  <r>
    <s v="EMP125"/>
    <s v="Jane Martinez"/>
    <s v="HR01"/>
    <s v="HR01"/>
    <s v="Human Resources"/>
    <d v="2022-01-17T00:00:00"/>
    <n v="4"/>
    <n v="59899"/>
    <n v="59899"/>
    <n v="78"/>
    <s v="Achieving"/>
    <s v="Active"/>
    <n v="0"/>
    <s v="Active"/>
    <s v="0.05"/>
    <n v="2994.9500000000003"/>
  </r>
  <r>
    <s v="EMP085"/>
    <s v="Emily Jones"/>
    <s v=" FIN03 "/>
    <s v="FIN03"/>
    <s v="Finance"/>
    <d v="2017-07-03T00:00:00"/>
    <n v="9"/>
    <n v="113389"/>
    <n v="113389"/>
    <n v="30"/>
    <s v="Needs Improvement"/>
    <s v="Active "/>
    <n v="0"/>
    <s v="Active"/>
    <s v="0"/>
    <n v="0"/>
  </r>
  <r>
    <s v="EMP106"/>
    <s v="Brown"/>
    <s v=" IT02 "/>
    <s v="IT02"/>
    <s v="Information Technology"/>
    <d v="2015-09-01T00:00:00"/>
    <n v="10"/>
    <n v="102691"/>
    <n v="102691"/>
    <n v="52"/>
    <s v="Developing"/>
    <s v="Active"/>
    <n v="0"/>
    <s v="Active"/>
    <s v="0.02"/>
    <n v="2053.8200000000002"/>
  </r>
  <r>
    <s v="EMP043"/>
    <s v="John Wilson"/>
    <s v="OPS06"/>
    <s v="OPS06"/>
    <s v="Operations"/>
    <d v="2022-08-03T00:00:00"/>
    <n v="3"/>
    <n v="111845"/>
    <n v="111845"/>
    <n v="98"/>
    <s v="Outstanding"/>
    <s v="Active"/>
    <n v="0"/>
    <s v="Active"/>
    <s v="0.12"/>
    <n v="13421.4"/>
  </r>
  <r>
    <s v="EMP068"/>
    <s v="Melissa Brown"/>
    <s v=" SAL05 "/>
    <s v="SAL05"/>
    <s v="Sales"/>
    <d v="2022-06-29T00:00:00"/>
    <n v="4"/>
    <n v="69219"/>
    <n v="69219"/>
    <n v="93"/>
    <s v="Exceeding"/>
    <s v="Active"/>
    <n v="0"/>
    <s v="Active"/>
    <s v="0.08"/>
    <n v="5537.52"/>
  </r>
  <r>
    <s v="EMP128"/>
    <s v="Michael Smith"/>
    <s v="FIN03"/>
    <s v="FIN03"/>
    <s v="Finance"/>
    <d v="2020-04-28T00:00:00"/>
    <n v="6"/>
    <m/>
    <n v="93152"/>
    <n v="80"/>
    <s v="Achieving"/>
    <s v="Left"/>
    <n v="1"/>
    <s v="Left"/>
    <s v="0.05"/>
    <n v="0"/>
  </r>
  <r>
    <s v="EMP027"/>
    <s v="Sarah Miller"/>
    <s v="OPS06"/>
    <s v="OPS06"/>
    <s v="Operations"/>
    <d v="2017-09-09T00:00:00"/>
    <n v="8"/>
    <n v="57514"/>
    <n v="57514"/>
    <m/>
    <s v="Needs Improvement"/>
    <s v="Active"/>
    <n v="0"/>
    <s v="Active"/>
    <s v="0"/>
    <n v="0"/>
  </r>
  <r>
    <s v="EMP136"/>
    <s v="Emily Wilson"/>
    <s v="SAL05"/>
    <s v="SAL05"/>
    <s v="Sales"/>
    <d v="2018-03-22T00:00:00"/>
    <n v="8"/>
    <n v="86245"/>
    <n v="86245"/>
    <n v="71"/>
    <s v="Achieving"/>
    <s v="Left"/>
    <n v="1"/>
    <s v="Left"/>
    <s v="0.05"/>
    <n v="4312.25"/>
  </r>
  <r>
    <s v="EMP079"/>
    <s v="David Hernandez"/>
    <s v="SAL05"/>
    <s v="SAL05"/>
    <s v="Sales"/>
    <d v="2020-05-07T00:00:00"/>
    <n v="6"/>
    <n v="52407"/>
    <n v="52407"/>
    <n v="55"/>
    <s v="Developing"/>
    <s v="Active"/>
    <n v="0"/>
    <s v="Active"/>
    <s v="0.02"/>
    <n v="1048.1400000000001"/>
  </r>
  <r>
    <s v="EMP149"/>
    <s v="James Smith"/>
    <s v=" OPS06 "/>
    <s v="OPS06"/>
    <s v="Operations"/>
    <d v="2019-03-25T00:00:00"/>
    <n v="7"/>
    <n v="66606"/>
    <n v="66606"/>
    <n v="93"/>
    <s v="Exceeding"/>
    <s v="Resigned"/>
    <n v="1"/>
    <s v="Left"/>
    <s v="0.08"/>
    <n v="5328.4800000000005"/>
  </r>
  <r>
    <s v="EMP037"/>
    <s v="Sarah Williams"/>
    <s v="IT02"/>
    <s v="IT02"/>
    <s v="Information Technology"/>
    <d v="2019-08-09T00:00:00"/>
    <n v="6"/>
    <n v="81896"/>
    <n v="81896"/>
    <n v="79"/>
    <s v="Achieving"/>
    <s v="Resigned"/>
    <n v="1"/>
    <s v="Left"/>
    <s v="0.05"/>
    <n v="4094.8"/>
  </r>
  <r>
    <s v="EMP077"/>
    <s v="Amanda Lopez"/>
    <s v="SAL05"/>
    <s v="SAL05"/>
    <s v="Sales"/>
    <d v="2016-07-14T00:00:00"/>
    <n v="9"/>
    <n v="78402"/>
    <n v="78402"/>
    <n v="54"/>
    <s v="Developing"/>
    <s v="Active "/>
    <n v="0"/>
    <s v="Active"/>
    <s v="0.02"/>
    <n v="1568.04"/>
  </r>
  <r>
    <s v="EMP023"/>
    <s v="Thomas Lopez"/>
    <s v=" OPS06 "/>
    <s v="OPS06"/>
    <s v="Operations"/>
    <d v="2016-10-04T00:00:00"/>
    <n v="9"/>
    <n v="105498"/>
    <n v="105498"/>
    <n v="76"/>
    <s v="Achieving"/>
    <s v="Active"/>
    <n v="0"/>
    <s v="Active"/>
    <s v="0.05"/>
    <n v="5274.9000000000005"/>
  </r>
  <r>
    <s v="EMP133"/>
    <s v="Melissa Johnson"/>
    <s v="MKT04"/>
    <s v="MKT04"/>
    <s v="Marketing"/>
    <d v="2019-07-10T00:00:00"/>
    <n v="6"/>
    <n v="91749"/>
    <n v="91749"/>
    <n v="72"/>
    <s v="Achieving"/>
    <s v="Left"/>
    <n v="1"/>
    <s v="Left"/>
    <s v="0.05"/>
    <n v="4587.45"/>
  </r>
  <r>
    <s v="EMP141"/>
    <s v="Amanda Johnson"/>
    <s v=" OPS06 "/>
    <s v="OPS06"/>
    <s v="Operations"/>
    <d v="2021-08-29T00:00:00"/>
    <n v="4"/>
    <n v="99935"/>
    <n v="99935"/>
    <n v="84"/>
    <s v="Achieving"/>
    <s v="Resigned"/>
    <n v="1"/>
    <s v="Left"/>
    <s v="0.05"/>
    <n v="4996.75"/>
  </r>
  <r>
    <s v="EMP012"/>
    <s v="John Davis"/>
    <s v=" IT02 "/>
    <s v="IT02"/>
    <s v="Information Technology"/>
    <d v="2017-01-26T00:00:00"/>
    <n v="9"/>
    <n v="83531"/>
    <n v="83531"/>
    <n v="30"/>
    <s v="Needs Improvement"/>
    <s v="Left"/>
    <n v="1"/>
    <s v="Left"/>
    <s v="0"/>
    <n v="0"/>
  </r>
  <r>
    <s v="EMP080"/>
    <s v="James Johnson"/>
    <s v="MKT04"/>
    <s v="MKT04"/>
    <s v="Marketing"/>
    <d v="2020-05-30T00:00:00"/>
    <n v="6"/>
    <n v="75023"/>
    <n v="75023"/>
    <m/>
    <s v="Needs Improvement"/>
    <s v=" ACTIVE "/>
    <n v="0"/>
    <s v="Active"/>
    <s v="0"/>
    <n v="0"/>
  </r>
  <r>
    <s v="EMP069"/>
    <s v="Jane Davis"/>
    <s v="HR01"/>
    <s v="HR01"/>
    <s v="Human Resources"/>
    <d v="2022-02-20T00:00:00"/>
    <n v="4"/>
    <n v="93290"/>
    <n v="93290"/>
    <n v="53"/>
    <s v="Developing"/>
    <s v="Active "/>
    <n v="0"/>
    <s v="Active"/>
    <s v="0.02"/>
    <n v="1865.8"/>
  </r>
  <r>
    <s v="EMP150"/>
    <s v="Richard Davis"/>
    <s v="OPS06"/>
    <s v="OPS06"/>
    <s v="Operations"/>
    <d v="2016-09-15T00:00:00"/>
    <n v="9"/>
    <n v="115527"/>
    <n v="115527"/>
    <n v="63"/>
    <s v="Developing"/>
    <s v="Resigned"/>
    <n v="1"/>
    <s v="Left"/>
    <s v="0.02"/>
    <n v="2310.54"/>
  </r>
  <r>
    <s v="EMP028"/>
    <s v="Thomas Rodriguez"/>
    <s v=" FIN03 "/>
    <s v="FIN03"/>
    <s v="Finance"/>
    <d v="2019-10-07T00:00:00"/>
    <n v="6"/>
    <n v="55920"/>
    <n v="55920"/>
    <n v="84"/>
    <s v="Achieving"/>
    <s v="Active"/>
    <n v="0"/>
    <s v="Active"/>
    <s v="0.05"/>
    <n v="2796"/>
  </r>
  <r>
    <s v="EMP087"/>
    <s v="Emily Johnson"/>
    <s v="SAL05"/>
    <s v="SAL05"/>
    <s v="Sales"/>
    <d v="2018-12-30T00:00:00"/>
    <n v="7"/>
    <n v="80189"/>
    <n v="80189"/>
    <n v="30"/>
    <s v="Needs Improvement"/>
    <s v="Active"/>
    <n v="0"/>
    <s v="Active"/>
    <s v="0"/>
    <n v="0"/>
  </r>
  <r>
    <s v="EMP119"/>
    <s v="Emily Garcia"/>
    <s v="HR01"/>
    <s v="HR01"/>
    <s v="Human Resources"/>
    <d v="2020-12-24T00:00:00"/>
    <n v="5"/>
    <n v="118947"/>
    <n v="118947"/>
    <n v="96"/>
    <s v="Outstanding"/>
    <s v="Active"/>
    <n v="0"/>
    <s v="Active"/>
    <s v="0.12"/>
    <n v="14273.64"/>
  </r>
  <r>
    <s v="EMP042"/>
    <s v="Jane Anderson"/>
    <s v="IT02"/>
    <s v="IT02"/>
    <s v="Information Technology"/>
    <d v="2023-07-05T00:00:00"/>
    <n v="3"/>
    <m/>
    <n v="77819"/>
    <n v="54"/>
    <s v="Developing"/>
    <s v="Active"/>
    <n v="0"/>
    <s v="Active"/>
    <s v="0.02"/>
    <n v="0"/>
  </r>
  <r>
    <s v="EMP005"/>
    <s v="Thomas Garcia"/>
    <s v=" OPS06 "/>
    <s v="OPS06"/>
    <s v="Operations"/>
    <d v="2020-11-13T00:00:00"/>
    <n v="5"/>
    <m/>
    <n v="68728"/>
    <n v="75"/>
    <s v="Achieving"/>
    <s v="Active"/>
    <n v="0"/>
    <s v="Active"/>
    <s v="0.05"/>
    <n v="0"/>
  </r>
  <r>
    <s v="EMP033"/>
    <s v="David Martinez"/>
    <s v="HR01"/>
    <s v="HR01"/>
    <s v="Human Resources"/>
    <d v="2018-02-07T00:00:00"/>
    <n v="8"/>
    <n v="91655"/>
    <n v="91655"/>
    <n v="95"/>
    <s v="Outstanding"/>
    <s v="Active"/>
    <n v="0"/>
    <s v="Active"/>
    <s v="0.12"/>
    <n v="10998.6"/>
  </r>
  <r>
    <s v="EMP061"/>
    <s v="Emily Brown"/>
    <s v="IT02"/>
    <s v="IT02"/>
    <s v="Information Technology"/>
    <d v="2023-11-25T00:00:00"/>
    <n v="2"/>
    <n v="49435"/>
    <n v="49435"/>
    <m/>
    <s v="Needs Improvement"/>
    <s v="Left"/>
    <n v="1"/>
    <s v="Left"/>
    <s v="0"/>
    <n v="0"/>
  </r>
  <r>
    <s v="EMP102"/>
    <s v="Emily Wilson"/>
    <s v="SAL05"/>
    <s v="SAL05"/>
    <s v="Sales"/>
    <d v="2023-10-18T00:00:00"/>
    <n v="2"/>
    <n v="110381"/>
    <n v="110381"/>
    <n v="93"/>
    <s v="Exceeding"/>
    <s v="Active"/>
    <n v="0"/>
    <s v="Active"/>
    <s v="0.08"/>
    <n v="8830.48"/>
  </r>
  <r>
    <s v="EMP067"/>
    <s v="Michael Anderson"/>
    <s v="HR01"/>
    <s v="HR01"/>
    <s v="Human Resources"/>
    <d v="2020-09-05T00:00:00"/>
    <n v="5"/>
    <n v="114748"/>
    <n v="114748"/>
    <n v="33"/>
    <s v="Needs Improvement"/>
    <s v="Active"/>
    <n v="0"/>
    <s v="Active"/>
    <s v="0"/>
    <n v="0"/>
  </r>
  <r>
    <s v="EMP017"/>
    <s v="Robert Johnson"/>
    <s v="OPS06"/>
    <s v="OPS06"/>
    <s v="Operations"/>
    <d v="2017-03-06T00:00:00"/>
    <n v="9"/>
    <n v="63302"/>
    <n v="63302"/>
    <n v="91"/>
    <s v="Exceeding"/>
    <s v="Active"/>
    <n v="0"/>
    <s v="Active"/>
    <s v="0.08"/>
    <n v="5064.16"/>
  </r>
  <r>
    <s v="EMP123"/>
    <s v="Robert Miller"/>
    <s v="IT02"/>
    <s v="IT02"/>
    <s v="Information Technology"/>
    <d v="2015-04-28T00:00:00"/>
    <n v="11"/>
    <n v="75519"/>
    <n v="75519"/>
    <n v="64"/>
    <s v="Developing"/>
    <s v="Active"/>
    <n v="0"/>
    <s v="Active"/>
    <s v="0.02"/>
    <n v="1510.38"/>
  </r>
  <r>
    <s v="EMP011"/>
    <s v="Jane Davis"/>
    <s v=" FIN03 "/>
    <s v="FIN03"/>
    <s v="Finance"/>
    <d v="2017-04-13T00:00:00"/>
    <n v="9"/>
    <n v="103891"/>
    <n v="103891"/>
    <n v="80"/>
    <s v="Achieving"/>
    <s v="Active"/>
    <n v="0"/>
    <s v="Active"/>
    <s v="0.05"/>
    <n v="5194.55"/>
  </r>
  <r>
    <s v="EMP091"/>
    <s v="Thomas Davis"/>
    <s v="OPS06"/>
    <s v="OPS06"/>
    <s v="Operations"/>
    <d v="2022-09-23T00:00:00"/>
    <n v="3"/>
    <m/>
    <n v="68728"/>
    <n v="46"/>
    <s v="Needs Improvement"/>
    <s v="Left "/>
    <n v="0"/>
    <s v="Active"/>
    <s v="0"/>
    <n v="0"/>
  </r>
  <r>
    <s v="EMP145"/>
    <s v="Thomas Jones"/>
    <s v=" MKT04 "/>
    <s v="MKT04"/>
    <s v="Marketing"/>
    <d v="2016-11-11T00:00:00"/>
    <n v="9"/>
    <n v="50936"/>
    <n v="50936"/>
    <n v="99"/>
    <s v="Outstanding"/>
    <s v="Active"/>
    <n v="0"/>
    <s v="Active"/>
    <s v="0.12"/>
    <n v="6112.32"/>
  </r>
  <r>
    <s v="EMP001"/>
    <s v="Michael Miller"/>
    <s v=" SAL05 "/>
    <s v="SAL05"/>
    <s v="Sales"/>
    <d v="2017-03-24T00:00:00"/>
    <n v="9"/>
    <n v="111240"/>
    <n v="111240"/>
    <m/>
    <s v="Needs Improvement"/>
    <s v="Actv"/>
    <n v="0"/>
    <s v="Active"/>
    <s v="0"/>
    <n v="0"/>
  </r>
  <r>
    <s v="EMP113"/>
    <s v="Richard Gonzalez"/>
    <s v="HR01"/>
    <s v="HR01"/>
    <s v="Human Resources"/>
    <d v="2019-05-05T00:00:00"/>
    <n v="7"/>
    <n v="51567"/>
    <n v="51567"/>
    <n v="87"/>
    <s v="Exceeding"/>
    <s v="Resigned"/>
    <n v="1"/>
    <s v="Left"/>
    <s v="0.08"/>
    <n v="4125.3599999999997"/>
  </r>
  <r>
    <s v="EMP065"/>
    <s v="Melissa Williams"/>
    <s v=" HR01 "/>
    <s v="HR01"/>
    <s v="Human Resources"/>
    <d v="2021-07-25T00:00:00"/>
    <n v="4"/>
    <m/>
    <n v="86232"/>
    <n v="36"/>
    <s v="Needs Improvement"/>
    <s v="Active"/>
    <n v="0"/>
    <s v="Active"/>
    <s v="0"/>
    <n v="0"/>
  </r>
  <r>
    <s v="EMP045"/>
    <s v="Robert Miller"/>
    <s v="HR01"/>
    <s v="HR01"/>
    <s v="Human Resources"/>
    <d v="2017-09-30T00:00:00"/>
    <n v="8"/>
    <n v="55270"/>
    <n v="55270"/>
    <n v="87"/>
    <s v="Exceeding"/>
    <s v="Active"/>
    <n v="0"/>
    <s v="Active"/>
    <s v="0.08"/>
    <n v="4421.6000000000004"/>
  </r>
  <r>
    <s v="EMP083"/>
    <s v="William Garcia"/>
    <s v="SAL05"/>
    <s v="SAL05"/>
    <s v="Sales"/>
    <d v="2015-07-07T00:00:00"/>
    <n v="10"/>
    <n v="65235"/>
    <n v="65235"/>
    <n v="97"/>
    <s v="Outstanding"/>
    <s v="Active "/>
    <n v="0"/>
    <s v="Active"/>
    <s v="0.12"/>
    <n v="7828.2"/>
  </r>
  <r>
    <s v="EMP029"/>
    <s v="John Gonzalez"/>
    <s v="SAL05"/>
    <s v="SAL05"/>
    <s v="Sales"/>
    <d v="2018-07-02T00:00:00"/>
    <n v="8"/>
    <m/>
    <n v="81205"/>
    <n v="72"/>
    <s v="Achieving"/>
    <s v="Left "/>
    <n v="0"/>
    <s v="Active"/>
    <s v="0.05"/>
    <n v="0"/>
  </r>
  <r>
    <s v="EMP041"/>
    <s v="James Gonzalez"/>
    <s v="SAL05"/>
    <s v="SAL05"/>
    <s v="Sales"/>
    <d v="2022-09-15T00:00:00"/>
    <n v="3"/>
    <m/>
    <n v="81205"/>
    <n v="65"/>
    <s v="Developing"/>
    <s v="Left "/>
    <n v="0"/>
    <s v="Active"/>
    <s v="0.02"/>
    <n v="0"/>
  </r>
  <r>
    <s v="EMP026"/>
    <s v="Jane Gonzalez"/>
    <s v=" SAL05 "/>
    <s v="SAL05"/>
    <s v="Sales"/>
    <d v="2015-09-02T00:00:00"/>
    <n v="10"/>
    <m/>
    <n v="81205"/>
    <n v="67"/>
    <s v="Developing"/>
    <s v="Active"/>
    <n v="0"/>
    <s v="Active"/>
    <s v="0.02"/>
    <n v="0"/>
  </r>
  <r>
    <s v="EMP024"/>
    <s v="David Wilson"/>
    <s v="OPS06"/>
    <s v="OPS06"/>
    <s v="Operations"/>
    <d v="2016-10-11T00:00:00"/>
    <n v="9"/>
    <n v="48823"/>
    <n v="48823"/>
    <n v="34"/>
    <s v="Needs Improvement"/>
    <s v="Active "/>
    <n v="0"/>
    <s v="Active"/>
    <s v="0"/>
    <n v="0"/>
  </r>
  <r>
    <s v="EMP111"/>
    <s v="Jane Gonzalez"/>
    <s v=" FIN03 "/>
    <s v="FIN03"/>
    <s v="Finance"/>
    <d v="2019-04-20T00:00:00"/>
    <n v="7"/>
    <n v="45196"/>
    <n v="45196"/>
    <n v="78"/>
    <s v="Achieving"/>
    <s v="Left"/>
    <n v="1"/>
    <s v="Left"/>
    <s v="0.05"/>
    <n v="2259.8000000000002"/>
  </r>
  <r>
    <s v="EMP040"/>
    <s v="Jane Rodriguez"/>
    <s v="IT02"/>
    <s v="IT02"/>
    <s v="Information Technology"/>
    <d v="2017-02-19T00:00:00"/>
    <n v="9"/>
    <n v="86246"/>
    <n v="86246"/>
    <n v="61"/>
    <s v="Developing"/>
    <s v="Active"/>
    <n v="0"/>
    <s v="Active"/>
    <s v="0.02"/>
    <n v="1724.92"/>
  </r>
  <r>
    <s v="EMP086"/>
    <s v="Emily Miller"/>
    <s v="SAL05"/>
    <s v="SAL05"/>
    <s v="Sales"/>
    <d v="2021-09-07T00:00:00"/>
    <n v="4"/>
    <n v="70359"/>
    <n v="70359"/>
    <n v="74"/>
    <s v="Achieving"/>
    <s v="Left"/>
    <n v="1"/>
    <s v="Left"/>
    <s v="0.05"/>
    <n v="3517.9500000000003"/>
  </r>
  <r>
    <s v="EMP124"/>
    <s v="Sarah Miller"/>
    <s v=" MKT04 "/>
    <s v="MKT04"/>
    <s v="Marketing"/>
    <d v="2019-05-14T00:00:00"/>
    <n v="7"/>
    <m/>
    <n v="85581"/>
    <n v="94"/>
    <s v="Exceeding"/>
    <s v="Active "/>
    <n v="0"/>
    <s v="Active"/>
    <s v="0.08"/>
    <n v="0"/>
  </r>
  <r>
    <s v="EMP132"/>
    <s v="Jessica Garcia"/>
    <s v=" OPS06 "/>
    <s v="OPS06"/>
    <s v="Operations"/>
    <d v="2015-11-22T00:00:00"/>
    <n v="10"/>
    <n v="86480"/>
    <n v="86480"/>
    <m/>
    <s v="Needs Improvement"/>
    <s v=" ACTIVE "/>
    <n v="0"/>
    <s v="Active"/>
    <s v="0"/>
    <n v="0"/>
  </r>
  <r>
    <s v="EMP048"/>
    <s v="Richard Smith"/>
    <s v="HR01"/>
    <s v="HR01"/>
    <s v="Human Resources"/>
    <d v="2018-09-29T00:00:00"/>
    <n v="7"/>
    <n v="47694"/>
    <n v="47694"/>
    <n v="75"/>
    <s v="Achieving"/>
    <s v="Active "/>
    <n v="0"/>
    <s v="Active"/>
    <s v="0.05"/>
    <n v="2384.7000000000003"/>
  </r>
  <r>
    <s v="EMP114"/>
    <s v="Melissa Wilson"/>
    <s v="IT02"/>
    <s v="IT02"/>
    <s v="Information Technology"/>
    <d v="2023-09-02T00:00:00"/>
    <n v="2"/>
    <n v="83724"/>
    <n v="83724"/>
    <n v="81"/>
    <s v="Achieving"/>
    <s v="Resigned"/>
    <n v="1"/>
    <s v="Left"/>
    <s v="0.05"/>
    <n v="4186.2"/>
  </r>
  <r>
    <s v="EMP062"/>
    <s v="Thomas Williams"/>
    <s v=" FIN03 "/>
    <s v="FIN03"/>
    <s v="Finance"/>
    <d v="2022-07-17T00:00:00"/>
    <n v="3"/>
    <n v="98299"/>
    <n v="98299"/>
    <n v="61"/>
    <s v="Developing"/>
    <s v="Active"/>
    <n v="0"/>
    <s v="Active"/>
    <s v="0.02"/>
    <n v="1965.98"/>
  </r>
  <r>
    <s v="EMP074"/>
    <s v="David Williams"/>
    <s v="FIN03"/>
    <s v="FIN03"/>
    <s v="Finance"/>
    <d v="2021-02-07T00:00:00"/>
    <n v="5"/>
    <m/>
    <n v="93152"/>
    <n v="68"/>
    <s v="Developing"/>
    <s v="Active"/>
    <n v="0"/>
    <s v="Active"/>
    <s v="0.02"/>
    <n v="0"/>
  </r>
  <r>
    <s v="EMP034"/>
    <s v="John Johnson"/>
    <s v="IT02"/>
    <s v="IT02"/>
    <s v="Information Technology"/>
    <d v="2023-10-04T00:00:00"/>
    <n v="2"/>
    <n v="52287"/>
    <n v="52287"/>
    <n v="70"/>
    <s v="Achieving"/>
    <s v="Active"/>
    <n v="0"/>
    <s v="Active"/>
    <s v="0.05"/>
    <n v="2614.3500000000004"/>
  </r>
  <r>
    <s v="EMP105"/>
    <s v="Richard Gonzalez"/>
    <s v="IT02"/>
    <s v="IT02"/>
    <s v="Information Technology"/>
    <d v="2020-08-30T00:00:00"/>
    <n v="5"/>
    <n v="82633"/>
    <n v="82633"/>
    <n v="98"/>
    <s v="Outstanding"/>
    <s v="Active "/>
    <n v="0"/>
    <s v="Active"/>
    <s v="0.12"/>
    <n v="9915.9599999999991"/>
  </r>
  <r>
    <s v="EMP118"/>
    <s v="Melissa Anderson"/>
    <s v=" OPS06 "/>
    <s v="OPS06"/>
    <s v="Operations"/>
    <d v="2021-08-14T00:00:00"/>
    <n v="4"/>
    <n v="46508"/>
    <n v="46508"/>
    <n v="34"/>
    <s v="Needs Improvement"/>
    <s v="Active"/>
    <n v="0"/>
    <s v="Active"/>
    <s v="0"/>
    <n v="0"/>
  </r>
  <r>
    <s v="EMP063"/>
    <s v="Emily Gonzalez"/>
    <s v="HR01"/>
    <s v="HR01"/>
    <s v="Human Resources"/>
    <d v="2019-11-27T00:00:00"/>
    <n v="6"/>
    <n v="86232"/>
    <n v="86232"/>
    <n v="93"/>
    <s v="Exceeding"/>
    <s v="Active"/>
    <n v="0"/>
    <s v="Active"/>
    <s v="0.08"/>
    <n v="6898.56"/>
  </r>
  <r>
    <s v="EMP094"/>
    <s v="Jane Davis"/>
    <s v="IT02"/>
    <s v="IT02"/>
    <s v="Information Technology"/>
    <d v="2017-05-25T00:00:00"/>
    <n v="9"/>
    <n v="77545"/>
    <n v="77545"/>
    <n v="48"/>
    <s v="Needs Improvement"/>
    <s v="Active"/>
    <n v="0"/>
    <s v="Active"/>
    <s v="0"/>
    <n v="0"/>
  </r>
  <r>
    <s v="EMP097"/>
    <s v="William Gonzalez"/>
    <s v=" OPS06 "/>
    <s v="OPS06"/>
    <s v="Operations"/>
    <d v="2018-12-02T00:00:00"/>
    <n v="7"/>
    <n v="68683"/>
    <n v="68683"/>
    <n v="90"/>
    <s v="Exceeding"/>
    <s v="Active"/>
    <n v="0"/>
    <s v="Active"/>
    <s v="0.08"/>
    <n v="5494.64"/>
  </r>
  <r>
    <s v="EMP054"/>
    <s v="Thomas Jones"/>
    <s v="FIN03"/>
    <s v="FIN03"/>
    <s v="Finance"/>
    <d v="2019-06-23T00:00:00"/>
    <n v="7"/>
    <n v="83932"/>
    <n v="83932"/>
    <n v="57"/>
    <s v="Developing"/>
    <s v="Left"/>
    <n v="1"/>
    <s v="Left"/>
    <s v="0.02"/>
    <n v="1678.64"/>
  </r>
  <r>
    <s v="EMP006"/>
    <s v="Jessica Anderson"/>
    <s v="HR01"/>
    <s v="HR01"/>
    <s v="Human Resources"/>
    <d v="2015-10-27T00:00:00"/>
    <n v="10"/>
    <n v="56073"/>
    <n v="56073"/>
    <n v="79"/>
    <s v="Achieving"/>
    <s v="Active"/>
    <n v="0"/>
    <s v="Active"/>
    <s v="0.05"/>
    <n v="2803.65"/>
  </r>
  <r>
    <s v="EMP110"/>
    <s v="Melissa Johnson"/>
    <s v=" IT02 "/>
    <s v="IT02"/>
    <s v="Information Technology"/>
    <d v="2018-06-19T00:00:00"/>
    <n v="8"/>
    <n v="88056"/>
    <n v="88056"/>
    <n v="66"/>
    <s v="Developing"/>
    <s v="Active"/>
    <n v="0"/>
    <s v="Active"/>
    <s v="0.02"/>
    <n v="1761.1200000000001"/>
  </r>
  <r>
    <s v="EMP147"/>
    <s v="Thomas Miller"/>
    <s v="OPS06"/>
    <s v="OPS06"/>
    <s v="Operations"/>
    <d v="2018-01-12T00:00:00"/>
    <n v="8"/>
    <n v="67414"/>
    <n v="67414"/>
    <n v="84"/>
    <s v="Achieving"/>
    <s v="Left"/>
    <n v="1"/>
    <s v="Left"/>
    <s v="0.05"/>
    <n v="3370.7000000000003"/>
  </r>
  <r>
    <s v="EMP050"/>
    <s v="William Gonzalez"/>
    <s v="SAL05"/>
    <s v="SAL05"/>
    <s v="Sales"/>
    <d v="2015-01-04T00:00:00"/>
    <n v="11"/>
    <n v="115288"/>
    <n v="115288"/>
    <n v="61"/>
    <s v="Developing"/>
    <s v="Active"/>
    <n v="0"/>
    <s v="Active"/>
    <s v="0.02"/>
    <n v="2305.7600000000002"/>
  </r>
  <r>
    <s v="EMP036"/>
    <s v="Smith"/>
    <s v="SAL05"/>
    <s v="SAL05"/>
    <s v="Sales"/>
    <d v="2018-12-05T00:00:00"/>
    <n v="7"/>
    <n v="80140"/>
    <n v="80140"/>
    <n v="58"/>
    <s v="Developing"/>
    <s v="Active"/>
    <n v="0"/>
    <s v="Active"/>
    <s v="0.02"/>
    <n v="1602.8"/>
  </r>
  <r>
    <s v="EMP081"/>
    <s v="John Johnson"/>
    <s v="IT02"/>
    <s v="IT02"/>
    <s v="Information Technology"/>
    <d v="2021-10-13T00:00:00"/>
    <n v="4"/>
    <n v="73087"/>
    <n v="73087"/>
    <n v="69"/>
    <s v="Developing"/>
    <s v="Active"/>
    <n v="0"/>
    <s v="Active"/>
    <s v="0.02"/>
    <n v="1461.74"/>
  </r>
  <r>
    <s v="EMP078"/>
    <s v="Jane Johnson"/>
    <s v=" SAL05 "/>
    <s v="SAL05"/>
    <s v="Sales"/>
    <d v="2020-09-07T00:00:00"/>
    <n v="5"/>
    <n v="95292"/>
    <n v="95292"/>
    <n v="34"/>
    <s v="Needs Improvement"/>
    <s v="Active"/>
    <n v="0"/>
    <s v="Active"/>
    <s v="0"/>
    <n v="0"/>
  </r>
  <r>
    <s v="EMP035"/>
    <s v="John Jones"/>
    <s v=" IT02 "/>
    <s v="IT02"/>
    <s v="Information Technology"/>
    <d v="2019-03-08T00:00:00"/>
    <n v="7"/>
    <m/>
    <n v="77819"/>
    <n v="33"/>
    <s v="Needs Improvement"/>
    <s v="Active"/>
    <n v="0"/>
    <s v="Active"/>
    <s v="0"/>
    <n v="0"/>
  </r>
  <r>
    <s v="EMP047"/>
    <s v="Jane Lopez"/>
    <s v="MKT04"/>
    <s v="MKT04"/>
    <s v="Marketing"/>
    <d v="2015-03-11T00:00:00"/>
    <n v="11"/>
    <n v="101750"/>
    <n v="101750"/>
    <n v="84"/>
    <s v="Achieving"/>
    <s v="Left"/>
    <n v="1"/>
    <s v="Left"/>
    <s v="0.05"/>
    <n v="5087.5"/>
  </r>
  <r>
    <s v="EMP008"/>
    <s v="Melissa Gonzalez"/>
    <s v="MKT04"/>
    <s v="MKT04"/>
    <s v="Marketing"/>
    <d v="2017-02-19T00:00:00"/>
    <n v="9"/>
    <n v="82992"/>
    <n v="82992"/>
    <n v="79"/>
    <s v="Achieving"/>
    <s v="Active"/>
    <n v="0"/>
    <s v="Active"/>
    <s v="0.05"/>
    <n v="4149.6000000000004"/>
  </r>
  <r>
    <s v="EMP044"/>
    <s v="William Davis"/>
    <s v="IT02"/>
    <s v="IT02"/>
    <s v="Information Technology"/>
    <d v="2023-05-09T00:00:00"/>
    <n v="3"/>
    <n v="49942"/>
    <n v="49942"/>
    <n v="51"/>
    <s v="Developing"/>
    <s v="Active"/>
    <n v="0"/>
    <s v="Active"/>
    <s v="0.02"/>
    <n v="998.84"/>
  </r>
  <r>
    <s v="EMP071"/>
    <s v="John Smith"/>
    <s v=" OPS06 "/>
    <s v="OPS06"/>
    <s v="Operations"/>
    <d v="2018-01-22T00:00:00"/>
    <n v="8"/>
    <n v="89060"/>
    <n v="89060"/>
    <n v="58"/>
    <s v="Developing"/>
    <s v="Active"/>
    <n v="0"/>
    <s v="Active"/>
    <s v="0.02"/>
    <n v="1781.2"/>
  </r>
  <r>
    <s v="EMP115"/>
    <s v="James Gonzalez"/>
    <s v="IT02"/>
    <s v="IT02"/>
    <s v="Information Technology"/>
    <d v="2020-02-18T00:00:00"/>
    <n v="6"/>
    <n v="53786"/>
    <n v="53786"/>
    <n v="98"/>
    <s v="Outstanding"/>
    <s v="Active"/>
    <n v="0"/>
    <s v="Active"/>
    <s v="0.12"/>
    <n v="6454.32"/>
  </r>
  <r>
    <s v="EMP092"/>
    <s v="Emily Johnson"/>
    <s v="OPS06"/>
    <s v="OPS06"/>
    <s v="Operations"/>
    <d v="2016-05-22T00:00:00"/>
    <n v="10"/>
    <n v="81167"/>
    <n v="81167"/>
    <m/>
    <s v="Needs Improvement"/>
    <s v="Active"/>
    <n v="0"/>
    <s v="Active"/>
    <s v="0"/>
    <n v="0"/>
  </r>
  <r>
    <s v="EMP084"/>
    <s v="William Williams"/>
    <s v="MKT04"/>
    <s v="MKT04"/>
    <s v="Marketing"/>
    <d v="2021-06-02T00:00:00"/>
    <n v="5"/>
    <n v="66688"/>
    <n v="66688"/>
    <n v="40"/>
    <s v="Needs Improvement"/>
    <s v="Left"/>
    <n v="1"/>
    <s v="Left"/>
    <s v="0"/>
    <n v="0"/>
  </r>
  <r>
    <s v="EMP142"/>
    <s v="James Jones"/>
    <s v="IT02"/>
    <s v="IT02"/>
    <s v="Information Technology"/>
    <d v="2021-07-17T00:00:00"/>
    <n v="4"/>
    <n v="91672"/>
    <n v="91672"/>
    <n v="88"/>
    <s v="Exceeding"/>
    <s v="Active "/>
    <n v="0"/>
    <s v="Active"/>
    <s v="0.08"/>
    <n v="7333.76"/>
  </r>
  <r>
    <s v="EMP143"/>
    <s v="Jessica Gonzalez"/>
    <s v=" HR01 "/>
    <s v="HR01"/>
    <s v="Human Resources"/>
    <d v="2016-11-13T00:00:00"/>
    <n v="9"/>
    <n v="77737"/>
    <n v="77737"/>
    <n v="77"/>
    <s v="Achieving"/>
    <s v="Active"/>
    <n v="0"/>
    <s v="Active"/>
    <s v="0.05"/>
    <n v="3886.8500000000004"/>
  </r>
  <r>
    <s v="EMP090"/>
    <s v="Sarah Miller"/>
    <s v=" SAL05 "/>
    <s v="SAL05"/>
    <s v="Sales"/>
    <d v="2019-02-17T00:00:00"/>
    <n v="7"/>
    <n v="95686"/>
    <n v="95686"/>
    <n v="91"/>
    <s v="Exceeding"/>
    <s v="Active"/>
    <n v="0"/>
    <s v="Active"/>
    <s v="0.08"/>
    <n v="7654.88"/>
  </r>
  <r>
    <s v="EMP009"/>
    <s v="Jessica Smith"/>
    <s v="SAL05"/>
    <s v="SAL05"/>
    <s v="Sales"/>
    <d v="2016-09-12T00:00:00"/>
    <n v="9"/>
    <n v="114681"/>
    <n v="114681"/>
    <n v="36"/>
    <s v="Needs Improvement"/>
    <s v="Active "/>
    <n v="0"/>
    <s v="Active"/>
    <s v="0"/>
    <n v="0"/>
  </r>
  <r>
    <s v="EMP014"/>
    <s v="Thomas Jones"/>
    <s v=" OPS06 "/>
    <s v="OPS06"/>
    <s v="Operations"/>
    <d v="2021-08-13T00:00:00"/>
    <n v="4"/>
    <n v="109121"/>
    <n v="109121"/>
    <n v="72"/>
    <s v="Achieving"/>
    <s v="Active"/>
    <n v="0"/>
    <s v="Active"/>
    <s v="0.05"/>
    <n v="5456.05"/>
  </r>
  <r>
    <s v="EMP060"/>
    <s v="Amanda Brown"/>
    <s v="MKT04"/>
    <s v="MKT04"/>
    <s v="Marketing"/>
    <d v="2020-06-14T00:00:00"/>
    <n v="6"/>
    <n v="112791"/>
    <n v="112791"/>
    <n v="87"/>
    <s v="Exceeding"/>
    <s v="Active"/>
    <n v="0"/>
    <s v="Active"/>
    <s v="0.08"/>
    <n v="9023.2800000000007"/>
  </r>
  <r>
    <s v="EMP135"/>
    <s v="Robert Martinez"/>
    <s v=" IT02 "/>
    <s v="IT02"/>
    <s v="Information Technology"/>
    <d v="2022-07-05T00:00:00"/>
    <n v="4"/>
    <n v="118008"/>
    <n v="118008"/>
    <n v="71"/>
    <s v="Achieving"/>
    <s v="Active"/>
    <n v="0"/>
    <s v="Active"/>
    <s v="0.05"/>
    <n v="5900.4000000000005"/>
  </r>
  <r>
    <s v="EMP004"/>
    <s v="Thomas Miller"/>
    <s v="IT02"/>
    <s v="IT02"/>
    <s v="Information Technology"/>
    <d v="2016-07-10T00:00:00"/>
    <n v="9"/>
    <n v="74370"/>
    <n v="74370"/>
    <n v="82"/>
    <s v="Achieving"/>
    <s v="Active"/>
    <n v="0"/>
    <s v="Active"/>
    <s v="0.05"/>
    <n v="3718.5"/>
  </r>
  <r>
    <s v="EMP018"/>
    <s v="David Rodriguez"/>
    <s v=" IT02 "/>
    <s v="IT02"/>
    <s v="Information Technology"/>
    <d v="2022-04-23T00:00:00"/>
    <n v="4"/>
    <n v="77819"/>
    <n v="77819"/>
    <n v="79"/>
    <s v="Achieving"/>
    <s v="Active "/>
    <n v="0"/>
    <s v="Active"/>
    <s v="0.05"/>
    <n v="3890.9500000000003"/>
  </r>
  <r>
    <s v="EMP039"/>
    <s v="Jane Miller"/>
    <s v=" MKT04 "/>
    <s v="MKT04"/>
    <s v="Marketing"/>
    <d v="2017-05-10T00:00:00"/>
    <n v="9"/>
    <n v="48748"/>
    <n v="48748"/>
    <n v="83"/>
    <s v="Achieving"/>
    <s v="Active"/>
    <n v="0"/>
    <s v="Active"/>
    <s v="0.05"/>
    <n v="2437.4"/>
  </r>
  <r>
    <s v="EMP073"/>
    <s v="James Rodriguez"/>
    <s v="OPS06"/>
    <s v="OPS06"/>
    <s v="Operations"/>
    <d v="2020-05-20T00:00:00"/>
    <n v="6"/>
    <n v="101997"/>
    <n v="101997"/>
    <n v="38"/>
    <s v="Needs Improvement"/>
    <s v="Resigned"/>
    <n v="1"/>
    <s v="Left"/>
    <s v="0"/>
    <n v="0"/>
  </r>
  <r>
    <s v="EMP138"/>
    <s v="Sarah Rodriguez"/>
    <s v="HR01"/>
    <s v="HR01"/>
    <s v="Human Resources"/>
    <d v="2023-04-20T00:00:00"/>
    <n v="3"/>
    <n v="115260"/>
    <n v="115260"/>
    <n v="77"/>
    <s v="Achieving"/>
    <s v="Active"/>
    <n v="0"/>
    <s v="Active"/>
    <s v="0.05"/>
    <n v="5763"/>
  </r>
  <r>
    <s v="EMP007"/>
    <s v="Sarah Wilson"/>
    <s v="SAL05"/>
    <s v="SAL05"/>
    <s v="Sales"/>
    <d v="2021-10-31T00:00:00"/>
    <n v="4"/>
    <m/>
    <n v="81205"/>
    <n v="49"/>
    <s v="Needs Improvement"/>
    <s v="Active"/>
    <n v="0"/>
    <s v="Active"/>
    <s v="0"/>
    <n v="0"/>
  </r>
  <r>
    <s v="EMP144"/>
    <s v="Melissa Brown"/>
    <s v=" IT02 "/>
    <s v="IT02"/>
    <s v="Information Technology"/>
    <d v="2021-10-24T00:00:00"/>
    <n v="4"/>
    <m/>
    <n v="77819"/>
    <n v="69"/>
    <s v="Developing"/>
    <s v="Left"/>
    <n v="1"/>
    <s v="Left"/>
    <s v="0.02"/>
    <n v="0"/>
  </r>
  <r>
    <s v="EMP101"/>
    <s v="Robert Williams"/>
    <s v="SAL05"/>
    <s v="SAL05"/>
    <s v="Sales"/>
    <d v="2017-08-09T00:00:00"/>
    <n v="8"/>
    <m/>
    <n v="81205"/>
    <n v="76"/>
    <s v="Achieving"/>
    <s v="Active"/>
    <n v="0"/>
    <s v="Active"/>
    <s v="0.05"/>
    <n v="0"/>
  </r>
  <r>
    <s v="EMP003"/>
    <s v="Melissa Rodriguez"/>
    <s v="OPS06"/>
    <s v="OPS06"/>
    <s v="Operations"/>
    <d v="2023-01-04T00:00:00"/>
    <n v="3"/>
    <n v="60623"/>
    <n v="60623"/>
    <n v="78"/>
    <s v="Achieving"/>
    <s v="Active"/>
    <n v="0"/>
    <s v="Active"/>
    <s v="0.05"/>
    <n v="3031.15"/>
  </r>
  <r>
    <s v="EMP121"/>
    <s v="James Johnson"/>
    <s v=" HR01 "/>
    <s v="HR01"/>
    <s v="Human Resources"/>
    <d v="2020-08-10T00:00:00"/>
    <n v="5"/>
    <n v="68092"/>
    <n v="68092"/>
    <n v="93"/>
    <s v="Exceeding"/>
    <s v="Active"/>
    <n v="0"/>
    <s v="Active"/>
    <s v="0.08"/>
    <n v="5447.36"/>
  </r>
  <r>
    <s v="EMP064"/>
    <s v="Michael Wilson"/>
    <s v="MKT04"/>
    <s v="MKT04"/>
    <s v="Marketing"/>
    <d v="2022-04-02T00:00:00"/>
    <n v="4"/>
    <n v="88155"/>
    <n v="88155"/>
    <n v="68"/>
    <s v="Developing"/>
    <s v="Active"/>
    <n v="0"/>
    <s v="Active"/>
    <s v="0.02"/>
    <n v="1763.1000000000001"/>
  </r>
  <r>
    <s v="EMP116"/>
    <s v="William Jones"/>
    <s v="MKT04"/>
    <s v="MKT04"/>
    <s v="Marketing"/>
    <d v="2018-03-24T00:00:00"/>
    <n v="8"/>
    <n v="107903"/>
    <n v="107903"/>
    <n v="42"/>
    <s v="Needs Improvement"/>
    <s v="Active "/>
    <n v="0"/>
    <s v="Active"/>
    <s v="0"/>
    <n v="0"/>
  </r>
  <r>
    <s v="EMP055"/>
    <s v="William Williams"/>
    <s v="IT02"/>
    <s v="IT02"/>
    <s v="Information Technology"/>
    <d v="2018-07-24T00:00:00"/>
    <n v="7"/>
    <n v="62818"/>
    <n v="62818"/>
    <n v="34"/>
    <s v="Needs Improvement"/>
    <s v="Active "/>
    <n v="0"/>
    <s v="Active"/>
    <s v="0"/>
    <n v="0"/>
  </r>
  <r>
    <s v="EMP108"/>
    <s v="David Williams"/>
    <s v=" HR01 "/>
    <s v="HR01"/>
    <s v="Human Resources"/>
    <d v="2018-07-20T00:00:00"/>
    <n v="7"/>
    <n v="85151"/>
    <n v="85151"/>
    <n v="35"/>
    <s v="Needs Improvement"/>
    <s v="Active "/>
    <n v="0"/>
    <s v="Active"/>
    <s v="0"/>
    <n v="0"/>
  </r>
  <r>
    <s v="EMP051"/>
    <s v="Jane Davis"/>
    <s v=" FIN03 "/>
    <s v="FIN03"/>
    <s v="Finance"/>
    <d v="2016-03-04T00:00:00"/>
    <n v="10"/>
    <n v="46390"/>
    <n v="46390"/>
    <n v="95"/>
    <s v="Outstanding"/>
    <s v="Active"/>
    <n v="0"/>
    <s v="Active"/>
    <s v="0.12"/>
    <n v="5566.8"/>
  </r>
  <r>
    <s v="EMP059"/>
    <s v="John Martinez"/>
    <s v=" HR01 "/>
    <s v="HR01"/>
    <s v="Human Resources"/>
    <d v="2022-03-23T00:00:00"/>
    <n v="4"/>
    <n v="111920"/>
    <n v="111920"/>
    <n v="90"/>
    <s v="Exceeding"/>
    <s v="Left"/>
    <n v="1"/>
    <s v="Left"/>
    <s v="0.08"/>
    <n v="8953.6"/>
  </r>
  <r>
    <s v="EMP049"/>
    <s v="David Anderson"/>
    <s v="HR01"/>
    <s v="HR01"/>
    <s v="Human Resources"/>
    <d v="2017-07-28T00:00:00"/>
    <n v="8"/>
    <n v="115618"/>
    <n v="115618"/>
    <n v="42"/>
    <s v="Needs Improvement"/>
    <s v="Active "/>
    <n v="0"/>
    <s v="Active"/>
    <s v="0"/>
    <n v="0"/>
  </r>
  <r>
    <s v="EMP089"/>
    <s v="Sarah Smith"/>
    <s v="SAL05"/>
    <s v="SAL05"/>
    <s v="Sales"/>
    <d v="2023-05-11T00:00:00"/>
    <n v="3"/>
    <n v="110618"/>
    <n v="110618"/>
    <n v="88"/>
    <s v="Exceeding"/>
    <s v="Resigned"/>
    <n v="1"/>
    <s v="Left"/>
    <s v="0.08"/>
    <n v="8849.44"/>
  </r>
  <r>
    <s v="EMP022"/>
    <s v="Melissa Hernandez"/>
    <s v=" OPS06 "/>
    <s v="OPS06"/>
    <s v="Operations"/>
    <d v="2022-03-19T00:00:00"/>
    <n v="4"/>
    <n v="108395"/>
    <n v="108395"/>
    <n v="78"/>
    <s v="Achieving"/>
    <s v="Left"/>
    <n v="1"/>
    <s v="Left"/>
    <s v="0.05"/>
    <n v="5419.75"/>
  </r>
  <r>
    <s v="EMP058"/>
    <s v="Melissa Johnson"/>
    <s v="FIN03"/>
    <s v="FIN03"/>
    <s v="Finance"/>
    <d v="2017-12-22T00:00:00"/>
    <n v="8"/>
    <n v="88005"/>
    <n v="88005"/>
    <n v="69"/>
    <s v="Developing"/>
    <s v="Active"/>
    <n v="0"/>
    <s v="Active"/>
    <s v="0.02"/>
    <n v="1760.1000000000001"/>
  </r>
  <r>
    <s v="EMP130"/>
    <s v="Jane Garcia"/>
    <s v=" MKT04 "/>
    <s v="MKT04"/>
    <s v="Marketing"/>
    <d v="2021-08-29T00:00:00"/>
    <n v="4"/>
    <n v="83007"/>
    <n v="83007"/>
    <n v="82"/>
    <s v="Achieving"/>
    <s v="Active"/>
    <n v="0"/>
    <s v="Active"/>
    <s v="0.05"/>
    <n v="4150.3500000000004"/>
  </r>
  <r>
    <s v="EMP038"/>
    <s v="David Davis"/>
    <s v="IT02"/>
    <s v="IT02"/>
    <s v="Information Technology"/>
    <d v="2018-09-17T00:00:00"/>
    <n v="7"/>
    <n v="61547"/>
    <n v="61547"/>
    <n v="68"/>
    <s v="Developing"/>
    <s v="Active "/>
    <n v="0"/>
    <s v="Active"/>
    <s v="0.02"/>
    <n v="1230.94"/>
  </r>
  <r>
    <s v="EMP148"/>
    <s v="James Wilson"/>
    <s v="SAL05"/>
    <s v="SAL05"/>
    <s v="Sales"/>
    <d v="2021-06-28T00:00:00"/>
    <n v="5"/>
    <m/>
    <n v="81205"/>
    <n v="52"/>
    <s v="Developing"/>
    <s v="Active"/>
    <n v="0"/>
    <s v="Active"/>
    <s v="0.02"/>
    <n v="0"/>
  </r>
  <r>
    <s v="EMP002"/>
    <s v="Richard Johnson"/>
    <s v="OPS06"/>
    <s v="OPS06"/>
    <s v="Operations"/>
    <d v="2017-10-03T00:00:00"/>
    <n v="8"/>
    <n v="50399"/>
    <n v="50399"/>
    <n v="92"/>
    <s v="Exceeding"/>
    <s v="Left"/>
    <n v="1"/>
    <s v="Left"/>
    <s v="0.08"/>
    <n v="4031.92"/>
  </r>
  <r>
    <s v="EMP053"/>
    <s v="Richard Williams"/>
    <s v="FIN03"/>
    <s v="FIN03"/>
    <s v="Finance"/>
    <d v="2015-10-22T00:00:00"/>
    <n v="10"/>
    <m/>
    <n v="93152"/>
    <n v="62"/>
    <s v="Developing"/>
    <s v="Active "/>
    <n v="0"/>
    <s v="Active"/>
    <s v="0.02"/>
    <n v="0"/>
  </r>
  <r>
    <s v="EMP131"/>
    <s v="John Hernandez"/>
    <s v="OPS06"/>
    <s v="OPS06"/>
    <s v="Operations"/>
    <d v="2018-06-06T00:00:00"/>
    <n v="8"/>
    <n v="52720"/>
    <n v="52720"/>
    <n v="68"/>
    <s v="Developing"/>
    <s v="Active "/>
    <n v="0"/>
    <s v="Active"/>
    <s v="0.02"/>
    <n v="1054.4000000000001"/>
  </r>
  <r>
    <s v="EMP104"/>
    <s v="Sarah Gonzalez"/>
    <s v="OPS06"/>
    <s v="OPS06"/>
    <s v="Operations"/>
    <d v="2017-07-16T00:00:00"/>
    <n v="8"/>
    <n v="65065"/>
    <n v="65065"/>
    <n v="98"/>
    <s v="Outstanding"/>
    <s v="Active"/>
    <n v="0"/>
    <s v="Active"/>
    <s v="0.12"/>
    <n v="7807.7999999999993"/>
  </r>
  <r>
    <s v="EMP100"/>
    <s v="Melissa Hernandez"/>
    <s v="SAL05"/>
    <s v="SAL05"/>
    <s v="Sales"/>
    <d v="2015-06-20T00:00:00"/>
    <n v="11"/>
    <m/>
    <n v="81205"/>
    <n v="94"/>
    <s v="Exceeding"/>
    <s v="Resigned"/>
    <n v="1"/>
    <s v="Left"/>
    <s v="0.08"/>
    <n v="0"/>
  </r>
  <r>
    <s v="EMP117"/>
    <s v="Melissa Hernandez"/>
    <s v=" OPS06 "/>
    <s v="OPS06"/>
    <s v="Operations"/>
    <d v="2019-05-24T00:00:00"/>
    <n v="7"/>
    <n v="108119"/>
    <n v="108119"/>
    <n v="57"/>
    <s v="Developing"/>
    <s v="Resigned"/>
    <n v="1"/>
    <s v="Left"/>
    <s v="0.02"/>
    <n v="2162.38"/>
  </r>
  <r>
    <s v="EMP088"/>
    <s v="John Davis"/>
    <s v="IT02"/>
    <s v="IT02"/>
    <s v="Information Technology"/>
    <d v="2020-02-26T00:00:00"/>
    <n v="6"/>
    <m/>
    <n v="77819"/>
    <n v="96"/>
    <s v="Outstanding"/>
    <s v="Active"/>
    <n v="0"/>
    <s v="Active"/>
    <s v="0.12"/>
    <n v="0"/>
  </r>
  <r>
    <s v="EMP075"/>
    <s v="Richard Davis"/>
    <s v="HR01"/>
    <s v="HR01"/>
    <s v="Human Resources"/>
    <d v="2023-03-06T00:00:00"/>
    <n v="3"/>
    <n v="106896"/>
    <n v="106896"/>
    <n v="52"/>
    <s v="Developing"/>
    <s v="Left"/>
    <n v="1"/>
    <s v="Left"/>
    <s v="0.02"/>
    <n v="2137.92"/>
  </r>
  <r>
    <s v="EMP122"/>
    <s v="Jones"/>
    <s v=" IT02 "/>
    <s v="IT02"/>
    <s v="Information Technology"/>
    <d v="2019-01-12T00:00:00"/>
    <n v="7"/>
    <n v="112887"/>
    <n v="112887"/>
    <n v="59"/>
    <s v="Developing"/>
    <s v="Active"/>
    <n v="0"/>
    <s v="Active"/>
    <s v="0.02"/>
    <n v="2257.7400000000002"/>
  </r>
  <r>
    <s v="EMP021"/>
    <s v="William Rodriguez"/>
    <s v="FIN03"/>
    <s v="FIN03"/>
    <s v="Finance"/>
    <d v="2023-04-21T00:00:00"/>
    <n v="3"/>
    <n v="85457"/>
    <n v="85457"/>
    <n v="79"/>
    <s v="Achieving"/>
    <s v="Active "/>
    <n v="0"/>
    <s v="Active"/>
    <s v="0.05"/>
    <n v="4272.8500000000004"/>
  </r>
  <r>
    <s v="EMP072"/>
    <s v="Melissa Miller"/>
    <s v="SAL05"/>
    <s v="SAL05"/>
    <s v="Sales"/>
    <d v="2016-05-29T00:00:00"/>
    <n v="10"/>
    <n v="62798"/>
    <n v="62798"/>
    <n v="30"/>
    <s v="Needs Improvement"/>
    <s v="Active "/>
    <n v="0"/>
    <s v="Active"/>
    <s v="0"/>
    <n v="0"/>
  </r>
  <r>
    <s v="EMP107"/>
    <s v="Emily Martinez"/>
    <s v="OPS06"/>
    <s v="OPS06"/>
    <s v="Operations"/>
    <d v="2022-05-30T00:00:00"/>
    <n v="4"/>
    <n v="47794"/>
    <n v="47794"/>
    <n v="73"/>
    <s v="Achieving"/>
    <s v="Left"/>
    <n v="1"/>
    <s v="Left"/>
    <s v="0.05"/>
    <n v="2389.7000000000003"/>
  </r>
  <r>
    <s v="EMP093"/>
    <s v="James Rodriguez"/>
    <s v="MKT04"/>
    <s v="MKT04"/>
    <s v="Marketing"/>
    <d v="2016-11-03T00:00:00"/>
    <n v="9"/>
    <n v="93094"/>
    <n v="93094"/>
    <n v="74"/>
    <s v="Achieving"/>
    <s v="Active"/>
    <n v="0"/>
    <s v="Active"/>
    <s v="0.05"/>
    <n v="4654.7"/>
  </r>
  <r>
    <s v="EMP103"/>
    <s v="Amanda Brown"/>
    <s v="IT02"/>
    <s v="IT02"/>
    <s v="Information Technology"/>
    <d v="2022-10-14T00:00:00"/>
    <n v="3"/>
    <n v="118634"/>
    <n v="118634"/>
    <n v="91"/>
    <s v="Exceeding"/>
    <s v="Active "/>
    <n v="0"/>
    <s v="Active"/>
    <s v="0.08"/>
    <n v="9490.71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A6331-C264-448E-9A66-DD39817B089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6">
    <pivotField showAll="0"/>
    <pivotField dataField="1"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Full Name "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135FB-EE01-47E9-92E6-25EF1711CF90}" name="bonus payou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I10" firstHeaderRow="1" firstDataRow="1" firstDataCol="1"/>
  <pivotFields count="16">
    <pivotField showAll="0"/>
    <pivotField showAll="0"/>
    <pivotField showAll="0"/>
    <pivotField showAll="0"/>
    <pivotField showAll="0">
      <items count="8">
        <item x="2"/>
        <item x="5"/>
        <item x="0"/>
        <item x="1"/>
        <item x="3"/>
        <item x="4"/>
        <item h="1" x="6"/>
        <item t="default"/>
      </items>
    </pivotField>
    <pivotField showAll="0"/>
    <pivotField numFmtId="1" showAll="0"/>
    <pivotField showAll="0"/>
    <pivotField showAll="0"/>
    <pivotField showAll="0"/>
    <pivotField axis="axisRow" showAll="0">
      <items count="6">
        <item x="2"/>
        <item x="0"/>
        <item x="3"/>
        <item x="1"/>
        <item x="4"/>
        <item t="default"/>
      </items>
    </pivotField>
    <pivotField showAll="0"/>
    <pivotField showAll="0"/>
    <pivotField showAll="0">
      <items count="3">
        <item x="0"/>
        <item x="1"/>
        <item t="default"/>
      </items>
    </pivotField>
    <pivotField showAll="0"/>
    <pivotField dataField="1" showAll="0"/>
  </pivotFields>
  <rowFields count="1">
    <field x="10"/>
  </rowFields>
  <rowItems count="6">
    <i>
      <x/>
    </i>
    <i>
      <x v="1"/>
    </i>
    <i>
      <x v="2"/>
    </i>
    <i>
      <x v="3"/>
    </i>
    <i>
      <x v="4"/>
    </i>
    <i t="grand">
      <x/>
    </i>
  </rowItems>
  <colItems count="1">
    <i/>
  </colItems>
  <dataFields count="1">
    <dataField name="Sum of Bonus Paid" fld="15" baseField="0" baseItem="0"/>
  </dataFields>
  <formats count="1">
    <format dxfId="4">
      <pivotArea outline="0" collapsedLevelsAreSubtotals="1" fieldPosition="0"/>
    </format>
  </formats>
  <chartFormats count="6">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0" count="1" selected="0">
            <x v="4"/>
          </reference>
        </references>
      </pivotArea>
    </chartFormat>
    <chartFormat chart="10" format="18">
      <pivotArea type="data" outline="0" fieldPosition="0">
        <references count="2">
          <reference field="4294967294" count="1" selected="0">
            <x v="0"/>
          </reference>
          <reference field="10" count="1" selected="0">
            <x v="2"/>
          </reference>
        </references>
      </pivotArea>
    </chartFormat>
    <chartFormat chart="10" format="19">
      <pivotArea type="data" outline="0" fieldPosition="0">
        <references count="2">
          <reference field="4294967294" count="1" selected="0">
            <x v="0"/>
          </reference>
          <reference field="10" count="1" selected="0">
            <x v="1"/>
          </reference>
        </references>
      </pivotArea>
    </chartFormat>
    <chartFormat chart="10" format="20">
      <pivotArea type="data" outline="0" fieldPosition="0">
        <references count="2">
          <reference field="4294967294" count="1" selected="0">
            <x v="0"/>
          </reference>
          <reference field="10" count="1" selected="0">
            <x v="0"/>
          </reference>
        </references>
      </pivotArea>
    </chartFormat>
    <chartFormat chart="10" format="2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91755-3510-4F64-9C87-350D81E0191B}" name="attrition"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H14:L23" firstHeaderRow="1" firstDataRow="3" firstDataCol="1"/>
  <pivotFields count="16">
    <pivotField dataField="1" showAll="0"/>
    <pivotField showAll="0"/>
    <pivotField showAll="0"/>
    <pivotField showAll="0"/>
    <pivotField axis="axisRow" showAll="0">
      <items count="8">
        <item x="2"/>
        <item x="5"/>
        <item x="0"/>
        <item x="1"/>
        <item x="3"/>
        <item x="4"/>
        <item h="1" x="6"/>
        <item t="default"/>
      </items>
    </pivotField>
    <pivotField showAll="0"/>
    <pivotField numFmtId="1"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4"/>
  </rowFields>
  <rowItems count="7">
    <i>
      <x/>
    </i>
    <i>
      <x v="1"/>
    </i>
    <i>
      <x v="2"/>
    </i>
    <i>
      <x v="3"/>
    </i>
    <i>
      <x v="4"/>
    </i>
    <i>
      <x v="5"/>
    </i>
    <i t="grand">
      <x/>
    </i>
  </rowItems>
  <colFields count="2">
    <field x="13"/>
    <field x="-2"/>
  </colFields>
  <colItems count="4">
    <i>
      <x/>
      <x/>
    </i>
    <i r="1" i="1">
      <x v="1"/>
    </i>
    <i>
      <x v="1"/>
      <x/>
    </i>
    <i r="1" i="1">
      <x v="1"/>
    </i>
  </colItems>
  <dataFields count="2">
    <dataField name="Count of Emp ID" fld="0" subtotal="count" baseField="0" baseItem="0"/>
    <dataField name="Count of Emp ID2" fld="0" subtotal="count" showDataAs="percentOfRow" baseField="4"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1"/>
          </reference>
          <reference field="13"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6B4BF6-9CF5-4380-9E37-B6ED0C3CAEC0}" name="PivotTable3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16">
    <pivotField showAll="0"/>
    <pivotField showAll="0"/>
    <pivotField showAll="0"/>
    <pivotField showAll="0"/>
    <pivotField showAll="0"/>
    <pivotField numFmtId="14" showAll="0"/>
    <pivotField numFmtId="1" showAll="0"/>
    <pivotField showAll="0"/>
    <pivotField numFmtId="167" showAll="0"/>
    <pivotField showAll="0"/>
    <pivotField showAll="0"/>
    <pivotField showAll="0"/>
    <pivotField showAll="0"/>
    <pivotField showAll="0"/>
    <pivotField showAll="0"/>
    <pivotField dataField="1" showAll="0"/>
  </pivotFields>
  <rowItems count="1">
    <i/>
  </rowItems>
  <colItems count="1">
    <i/>
  </colItems>
  <dataFields count="1">
    <dataField name="Sum of Bonus Paid" fld="15"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4C15BF-355B-4E73-B5E6-1A4E82796897}" name="performance"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9:C21" firstHeaderRow="1" firstDataRow="2" firstDataCol="1"/>
  <pivotFields count="16">
    <pivotField showAll="0"/>
    <pivotField showAll="0"/>
    <pivotField showAll="0"/>
    <pivotField showAll="0"/>
    <pivotField showAll="0">
      <items count="8">
        <item x="2"/>
        <item x="5"/>
        <item x="0"/>
        <item x="1"/>
        <item x="3"/>
        <item x="4"/>
        <item h="1" x="6"/>
        <item t="default"/>
      </items>
    </pivotField>
    <pivotField showAll="0"/>
    <pivotField numFmtId="1" showAll="0"/>
    <pivotField showAll="0"/>
    <pivotField showAll="0"/>
    <pivotField dataField="1" showAll="0"/>
    <pivotField showAll="0">
      <items count="6">
        <item x="2"/>
        <item x="0"/>
        <item x="3"/>
        <item x="1"/>
        <item x="4"/>
        <item t="default"/>
      </items>
    </pivotField>
    <pivotField showAll="0"/>
    <pivotField showAll="0"/>
    <pivotField axis="axisCol" showAll="0">
      <items count="3">
        <item x="0"/>
        <item x="1"/>
        <item t="default"/>
      </items>
    </pivotField>
    <pivotField showAll="0"/>
    <pivotField showAll="0"/>
  </pivotFields>
  <rowItems count="1">
    <i/>
  </rowItems>
  <colFields count="1">
    <field x="13"/>
  </colFields>
  <colItems count="2">
    <i>
      <x/>
    </i>
    <i>
      <x v="1"/>
    </i>
  </colItems>
  <dataFields count="1">
    <dataField name="Average of Perf_Score" fld="9" subtotal="average" baseField="13" baseItem="0" numFmtId="164"/>
  </dataFields>
  <formats count="1">
    <format dxfId="6">
      <pivotArea outline="0" collapsedLevelsAreSubtotals="1" fieldPosition="0"/>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pivotArea type="data" outline="0" fieldPosition="0">
        <references count="2">
          <reference field="4294967294" count="1" selected="0">
            <x v="0"/>
          </reference>
          <reference field="13" count="1" selected="0">
            <x v="1"/>
          </reference>
        </references>
      </pivotArea>
    </chartFormat>
    <chartFormat chart="4" format="12"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80BE2-B3A4-4385-B556-0E4FB82A6861}" name="HEADCOUNT"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9" firstHeaderRow="0" firstDataRow="1" firstDataCol="1"/>
  <pivotFields count="16">
    <pivotField dataField="1" showAll="0"/>
    <pivotField showAll="0"/>
    <pivotField showAll="0"/>
    <pivotField showAll="0"/>
    <pivotField axis="axisRow" showAll="0">
      <items count="8">
        <item x="2"/>
        <item x="5"/>
        <item x="0"/>
        <item x="1"/>
        <item x="3"/>
        <item x="4"/>
        <item h="1" x="6"/>
        <item t="default"/>
      </items>
    </pivotField>
    <pivotField showAll="0"/>
    <pivotField numFmtId="1" showAll="0"/>
    <pivotField showAll="0"/>
    <pivotField dataField="1" showAll="0"/>
    <pivotField showAll="0"/>
    <pivotField showAll="0">
      <items count="6">
        <item x="2"/>
        <item x="0"/>
        <item x="3"/>
        <item x="1"/>
        <item x="4"/>
        <item t="default"/>
      </items>
    </pivotField>
    <pivotField showAll="0"/>
    <pivotField showAll="0"/>
    <pivotField showAll="0">
      <items count="3">
        <item x="0"/>
        <item x="1"/>
        <item t="default"/>
      </items>
    </pivotField>
    <pivotField showAll="0"/>
    <pivotField showAll="0"/>
  </pivotFields>
  <rowFields count="1">
    <field x="4"/>
  </rowFields>
  <rowItems count="6">
    <i>
      <x/>
    </i>
    <i>
      <x v="1"/>
    </i>
    <i>
      <x v="2"/>
    </i>
    <i>
      <x v="3"/>
    </i>
    <i>
      <x v="4"/>
    </i>
    <i>
      <x v="5"/>
    </i>
  </rowItems>
  <colFields count="1">
    <field x="-2"/>
  </colFields>
  <colItems count="2">
    <i>
      <x/>
    </i>
    <i i="1">
      <x v="1"/>
    </i>
  </colItems>
  <dataFields count="2">
    <dataField name="Count of Emp ID" fld="0" subtotal="count" baseField="0" baseItem="0"/>
    <dataField name="Average of Estimated Median Salary" fld="8" subtotal="average" baseField="4" baseItem="0" numFmtId="167"/>
  </dataFields>
  <formats count="1">
    <format dxfId="7">
      <pivotArea outline="0" collapsedLevelsAreSubtotals="1" fieldPosition="0">
        <references count="1">
          <reference field="4294967294" count="1" selected="0">
            <x v="1"/>
          </reference>
        </references>
      </pivotArea>
    </format>
  </formats>
  <chartFormats count="14">
    <chartFormat chart="3" format="4"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4" count="1" selected="0">
            <x v="0"/>
          </reference>
        </references>
      </pivotArea>
    </chartFormat>
    <chartFormat chart="3" format="13">
      <pivotArea type="data" outline="0" fieldPosition="0">
        <references count="2">
          <reference field="4294967294" count="1" selected="0">
            <x v="0"/>
          </reference>
          <reference field="4" count="1" selected="0">
            <x v="1"/>
          </reference>
        </references>
      </pivotArea>
    </chartFormat>
    <chartFormat chart="3" format="14">
      <pivotArea type="data" outline="0" fieldPosition="0">
        <references count="2">
          <reference field="4294967294" count="1" selected="0">
            <x v="0"/>
          </reference>
          <reference field="4" count="1" selected="0">
            <x v="2"/>
          </reference>
        </references>
      </pivotArea>
    </chartFormat>
    <chartFormat chart="3" format="15">
      <pivotArea type="data" outline="0" fieldPosition="0">
        <references count="2">
          <reference field="4294967294" count="1" selected="0">
            <x v="0"/>
          </reference>
          <reference field="4" count="1" selected="0">
            <x v="3"/>
          </reference>
        </references>
      </pivotArea>
    </chartFormat>
    <chartFormat chart="3" format="16">
      <pivotArea type="data" outline="0" fieldPosition="0">
        <references count="2">
          <reference field="4294967294" count="1" selected="0">
            <x v="0"/>
          </reference>
          <reference field="4" count="1" selected="0">
            <x v="4"/>
          </reference>
        </references>
      </pivotArea>
    </chartFormat>
    <chartFormat chart="3" format="17">
      <pivotArea type="data" outline="0" fieldPosition="0">
        <references count="2">
          <reference field="4294967294" count="1" selected="0">
            <x v="0"/>
          </reference>
          <reference field="4" count="1" selected="0">
            <x v="5"/>
          </reference>
        </references>
      </pivotArea>
    </chartFormat>
    <chartFormat chart="3" format="18" series="1">
      <pivotArea type="data" outline="0" fieldPosition="0">
        <references count="1">
          <reference field="4294967294" count="1" selected="0">
            <x v="1"/>
          </reference>
        </references>
      </pivotArea>
    </chartFormat>
    <chartFormat chart="3" format="19">
      <pivotArea type="data" outline="0" fieldPosition="0">
        <references count="2">
          <reference field="4294967294" count="1" selected="0">
            <x v="1"/>
          </reference>
          <reference field="4" count="1" selected="0">
            <x v="5"/>
          </reference>
        </references>
      </pivotArea>
    </chartFormat>
    <chartFormat chart="3" format="20">
      <pivotArea type="data" outline="0" fieldPosition="0">
        <references count="2">
          <reference field="4294967294" count="1" selected="0">
            <x v="1"/>
          </reference>
          <reference field="4" count="1" selected="0">
            <x v="4"/>
          </reference>
        </references>
      </pivotArea>
    </chartFormat>
    <chartFormat chart="3" format="21">
      <pivotArea type="data" outline="0" fieldPosition="0">
        <references count="2">
          <reference field="4294967294" count="1" selected="0">
            <x v="1"/>
          </reference>
          <reference field="4" count="1" selected="0">
            <x v="3"/>
          </reference>
        </references>
      </pivotArea>
    </chartFormat>
    <chartFormat chart="3" format="22">
      <pivotArea type="data" outline="0" fieldPosition="0">
        <references count="2">
          <reference field="4294967294" count="1" selected="0">
            <x v="1"/>
          </reference>
          <reference field="4" count="1" selected="0">
            <x v="2"/>
          </reference>
        </references>
      </pivotArea>
    </chartFormat>
    <chartFormat chart="3" format="23">
      <pivotArea type="data" outline="0" fieldPosition="0">
        <references count="2">
          <reference field="4294967294" count="1" selected="0">
            <x v="1"/>
          </reference>
          <reference field="4" count="1" selected="0">
            <x v="1"/>
          </reference>
        </references>
      </pivotArea>
    </chartFormat>
    <chartFormat chart="3" format="24">
      <pivotArea type="data" outline="0" fieldPosition="0">
        <references count="2">
          <reference field="4294967294"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77AF20-C1A7-4237-B112-519CAC52D1BF}" name="PivotTable3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16">
    <pivotField showAll="0"/>
    <pivotField showAll="0"/>
    <pivotField showAll="0"/>
    <pivotField showAll="0"/>
    <pivotField showAll="0"/>
    <pivotField numFmtId="14" showAll="0"/>
    <pivotField numFmtId="1" showAll="0"/>
    <pivotField showAll="0"/>
    <pivotField dataField="1" numFmtId="167" showAll="0"/>
    <pivotField showAll="0"/>
    <pivotField showAll="0"/>
    <pivotField showAll="0"/>
    <pivotField showAll="0"/>
    <pivotField showAll="0"/>
    <pivotField showAll="0"/>
    <pivotField showAll="0"/>
  </pivotFields>
  <rowItems count="1">
    <i/>
  </rowItems>
  <colItems count="1">
    <i/>
  </colItems>
  <dataFields count="1">
    <dataField name="Average of Estimated Median Salary" fld="8" subtotal="average"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6F7541F9-BEE2-4A99-A834-CF2DD5197B5D}" sourceName="Department Name ">
  <pivotTables>
    <pivotTable tabId="4" name="bonus payout"/>
    <pivotTable tabId="4" name="HEADCOUNT"/>
    <pivotTable tabId="4" name="performance"/>
  </pivotTables>
  <data>
    <tabular pivotCacheId="2050835705" showMissing="0">
      <items count="7">
        <i x="2" s="1"/>
        <i x="5" s="1"/>
        <i x="0" s="1"/>
        <i x="1" s="1"/>
        <i x="3" s="1"/>
        <i x="4" s="1"/>
        <i x="6"/>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1" xr10:uid="{5E04C62C-6EF3-4641-9259-789B823D96E0}" sourceName="Performance Band ">
  <pivotTables>
    <pivotTable tabId="4" name="bonus payout"/>
    <pivotTable tabId="4" name="HEADCOUNT"/>
    <pivotTable tabId="4" name="performance"/>
  </pivotTables>
  <data>
    <tabular pivotCacheId="2050835705">
      <items count="5">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ft_Band" xr10:uid="{CB768039-272A-4ED0-9D1D-3DDC8C03628A}" sourceName="Left-Band">
  <pivotTables>
    <pivotTable tabId="4" name="performance"/>
    <pivotTable tabId="4" name="bonus payout"/>
    <pivotTable tabId="4" name="HEADCOUNT"/>
  </pivotTables>
  <data>
    <tabular pivotCacheId="20508357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1" xr10:uid="{2E17FF0E-E3A4-40D2-BB88-85E9E7ADB4C5}" cache="Slicer_Department_Name" caption="Department Name " startItem="2" style="Slicer Style 3" rowHeight="257175"/>
  <slicer name="Performance Band  1" xr10:uid="{83EE20D8-3D9F-44E5-A070-F233C5A88856}" cache="Slicer_Performance_Band1" caption="Performance Band " style="Slicer Style 3" rowHeight="257175"/>
  <slicer name="Left-Band 1" xr10:uid="{2535C0A8-C704-4BC2-A6BD-1D566D7A612C}" cache="Slicer_Left_Band" caption="Left-Band" style="Slicer Style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7B66FE-4950-4263-9C9E-B592352F14BF}" name="RAW" displayName="RAW" ref="A1:P158" totalsRowShown="0" headerRowDxfId="29" headerRowBorderDxfId="28" tableBorderDxfId="27">
  <autoFilter ref="A1:P158" xr:uid="{C67B66FE-4950-4263-9C9E-B592352F14BF}">
    <filterColumn colId="9">
      <customFilters>
        <customFilter operator="notEqual" val=" "/>
      </customFilters>
    </filterColumn>
  </autoFilter>
  <tableColumns count="16">
    <tableColumn id="1" xr3:uid="{19E7FDEC-8979-46EF-ACC2-807279715BCE}" name="Emp ID"/>
    <tableColumn id="2" xr3:uid="{A60F6B5D-0E4C-4EFC-AE54-34C10859919C}" name="Full Name "/>
    <tableColumn id="3" xr3:uid="{8E1C07B0-124D-426D-8A84-2DA31D739F31}" name="Dept Cod"/>
    <tableColumn id="4" xr3:uid="{BA47523A-6D2D-477D-AD92-5E2A2A6421AB}" name="Dept Code">
      <calculatedColumnFormula>UPPER(TRIM(C2))</calculatedColumnFormula>
    </tableColumn>
    <tableColumn id="11" xr3:uid="{51BB77F9-C852-4415-ADC7-B1485ADEB808}" name="Department Name " dataDxfId="26">
      <calculatedColumnFormula>VLOOKUP(RAW[[#This Row],[Dept Code]],Table4[#All],2,FALSE)</calculatedColumnFormula>
    </tableColumn>
    <tableColumn id="5" xr3:uid="{07997C93-D130-48D2-8E9C-836AC94CD6DF}" name="Hire Date" dataDxfId="25"/>
    <tableColumn id="10" xr3:uid="{A687238A-E64A-4E1C-B066-624C54F0D56D}" name="Year of Service " dataDxfId="24">
      <calculatedColumnFormula>DATEDIF(RAW[[#This Row],[Hire Date]], TODAY(), "Y")</calculatedColumnFormula>
    </tableColumn>
    <tableColumn id="6" xr3:uid="{165B7211-F78A-4666-9C18-648BC7FE3999}" name="Salary" dataDxfId="23"/>
    <tableColumn id="9" xr3:uid="{6F506F5B-7EE6-4D15-BF94-AAD92032B562}" name="Estimated Median Salary" dataDxfId="22">
      <calculatedColumnFormula array="1">IF(H2="",MEDIAN(IF(($E$2:$E$151=E2)*($H$2:$H$151&lt;&gt;""),$H$2:$H$151)),H2)</calculatedColumnFormula>
    </tableColumn>
    <tableColumn id="7" xr3:uid="{A1FFE85D-7AFD-465E-9C2E-54C996D67083}" name="Perf_Score"/>
    <tableColumn id="12" xr3:uid="{07A7E915-BE58-45E1-96E1-AED063BF030F}" name="Performance Band " dataDxfId="21">
      <calculatedColumnFormula array="1">_xlfn.IFS(RAW[[#This Row],[Perf_Score]]&gt;=95,"Outstanding",RAW[[#This Row],[Perf_Score]]&gt;=85,"Exceeding",RAW[[#This Row],[Perf_Score]]&gt;=70,"Achieving",RAW[[#This Row],[Perf_Score]]&gt;=50,"Developing",RAW[[#This Row],[Perf_Score]]&lt;=49,"Needs Improvement")</calculatedColumnFormula>
    </tableColumn>
    <tableColumn id="8" xr3:uid="{BC2386DD-52EE-4BC3-943B-FA6398481A3A}" name="Employment Status"/>
    <tableColumn id="15" xr3:uid="{FBDE2434-CBC3-4F67-89CC-A283C7CAEC41}" name="Left/Resigned Band" dataDxfId="20"/>
    <tableColumn id="16" xr3:uid="{B7C3953F-4534-4CD2-9C69-DC51044151D1}" name="Left-Band" dataDxfId="19">
      <calculatedColumnFormula array="1">_xlfn.IFS(RAW[[#This Row],[Left/Resigned Band]]=0,"Active",RAW[[#This Row],[Left/Resigned Band]]=1,"Left")</calculatedColumnFormula>
    </tableColumn>
    <tableColumn id="13" xr3:uid="{BF07E97E-0AD2-4346-B698-9D277D07786F}" name="Eligible Bonus Amount" dataDxfId="18">
      <calculatedColumnFormula array="1">_xlfn.IFS(RAW[[#This Row],[Perf_Score]]&gt;=95,"0.12",RAW[[#This Row],[Perf_Score]]&gt;=85,"0.08",RAW[[#This Row],[Perf_Score]]&gt;=70,"0.05",RAW[[#This Row],[Perf_Score]]&gt;=50,"0.02",RAW[[#This Row],[Perf_Score]]&lt;=49,"0")</calculatedColumnFormula>
    </tableColumn>
    <tableColumn id="17" xr3:uid="{83504060-D830-4E9B-91BC-CB1E77C79CA9}" name="Bonus Paid" dataDxfId="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401876-E787-440D-87C5-B16303F87E83}" name="Table4" displayName="Table4" ref="A1:B7" totalsRowShown="0" headerRowDxfId="16" headerRowBorderDxfId="15" tableBorderDxfId="14">
  <autoFilter ref="A1:B7" xr:uid="{61401876-E787-440D-87C5-B16303F87E83}"/>
  <tableColumns count="2">
    <tableColumn id="1" xr3:uid="{66ACFBAF-E848-44CD-ABEE-BC78283A4862}" name="Dept_Code" dataDxfId="13"/>
    <tableColumn id="2" xr3:uid="{A255ADA7-E65B-4072-A41D-5A2922C57582}" name="Department_Name" dataDxfId="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C12021-CB28-4957-A4C5-9D09C9D80258}" name="Table6" displayName="Table6" ref="A1:D6" totalsRowShown="0" headerRowDxfId="11" headerRowBorderDxfId="10" tableBorderDxfId="9">
  <autoFilter ref="A1:D6" xr:uid="{F7C12021-CB28-4957-A4C5-9D09C9D80258}"/>
  <tableColumns count="4">
    <tableColumn id="1" xr3:uid="{7CE38EE1-F94D-459E-924D-829C77403F3B}" name="Min_Score"/>
    <tableColumn id="2" xr3:uid="{E32181C0-7445-4603-A723-00B50FA6C20F}" name="Max_Score"/>
    <tableColumn id="3" xr3:uid="{63ABA86A-6E19-44C5-90E1-C565F5A34F2F}" name="Performance_Band"/>
    <tableColumn id="4" xr3:uid="{B051F1AD-CF33-4962-B8F8-D1C9FBD4F501}" name="Bonus_Percentag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1BD3-7072-4940-BA7C-A09C020D65BA}">
  <dimension ref="A1:P158"/>
  <sheetViews>
    <sheetView tabSelected="1" topLeftCell="I14" zoomScaleNormal="100" workbookViewId="0">
      <selection activeCell="N30" sqref="N30"/>
    </sheetView>
  </sheetViews>
  <sheetFormatPr defaultRowHeight="15" x14ac:dyDescent="0.25"/>
  <cols>
    <col min="1" max="1" width="11.85546875" style="14" customWidth="1"/>
    <col min="2" max="2" width="19.140625" style="14" customWidth="1"/>
    <col min="3" max="3" width="13.7109375" hidden="1" customWidth="1"/>
    <col min="4" max="4" width="14.28515625" style="14" customWidth="1"/>
    <col min="5" max="5" width="22.7109375" style="14" customWidth="1"/>
    <col min="6" max="6" width="17.140625" style="2" customWidth="1"/>
    <col min="7" max="7" width="26.7109375" style="6" customWidth="1"/>
    <col min="8" max="8" width="14.28515625" style="12" customWidth="1"/>
    <col min="9" max="9" width="26.5703125" style="12" customWidth="1"/>
    <col min="10" max="10" width="17.85546875" style="6" customWidth="1"/>
    <col min="11" max="11" width="22.28515625" style="14" customWidth="1"/>
    <col min="12" max="12" width="24.7109375" style="14" customWidth="1"/>
    <col min="13" max="13" width="23.5703125" style="17" customWidth="1"/>
    <col min="14" max="14" width="21.28515625" style="17" customWidth="1"/>
    <col min="15" max="15" width="25.85546875" style="22" customWidth="1"/>
    <col min="16" max="16" width="23.5703125" style="8" customWidth="1"/>
  </cols>
  <sheetData>
    <row r="1" spans="1:16" x14ac:dyDescent="0.25">
      <c r="A1" s="15" t="s">
        <v>0</v>
      </c>
      <c r="B1" s="15" t="s">
        <v>186</v>
      </c>
      <c r="C1" s="9" t="s">
        <v>292</v>
      </c>
      <c r="D1" s="13" t="s">
        <v>1</v>
      </c>
      <c r="E1" s="13" t="s">
        <v>293</v>
      </c>
      <c r="F1" s="1" t="s">
        <v>2</v>
      </c>
      <c r="G1" s="5" t="s">
        <v>291</v>
      </c>
      <c r="H1" s="11" t="s">
        <v>3</v>
      </c>
      <c r="I1" s="27" t="s">
        <v>332</v>
      </c>
      <c r="J1" s="16" t="s">
        <v>4</v>
      </c>
      <c r="K1" s="13" t="s">
        <v>294</v>
      </c>
      <c r="L1" s="15" t="s">
        <v>5</v>
      </c>
      <c r="M1" s="23" t="s">
        <v>324</v>
      </c>
      <c r="N1" s="23" t="s">
        <v>323</v>
      </c>
      <c r="O1" s="24" t="s">
        <v>295</v>
      </c>
      <c r="P1" s="7" t="s">
        <v>325</v>
      </c>
    </row>
    <row r="2" spans="1:16" x14ac:dyDescent="0.25">
      <c r="A2" s="14" t="s">
        <v>6</v>
      </c>
      <c r="B2" s="14" t="s">
        <v>187</v>
      </c>
      <c r="C2" t="s">
        <v>8</v>
      </c>
      <c r="D2" s="14" t="str">
        <f t="shared" ref="D2:D33" si="0">UPPER(TRIM(C2))</f>
        <v>IT02</v>
      </c>
      <c r="E2" s="14" t="str">
        <f>VLOOKUP(RAW[[#This Row],[Dept Code]],Table4[#All],2,FALSE)</f>
        <v>Information Technology</v>
      </c>
      <c r="F2" s="2">
        <v>43093</v>
      </c>
      <c r="G2" s="6">
        <f ca="1">DATEDIF(RAW[[#This Row],[Hire Date]], TODAY(), "Y")</f>
        <v>8</v>
      </c>
      <c r="H2" s="12">
        <v>50361</v>
      </c>
      <c r="I2" s="12" cm="1">
        <f t="array" ref="I2">IF(H2="",MEDIAN(IF(($E$2:$E$151=E2)*($H$2:$H$151&lt;&gt;""),$H$2:$H$151)),H2)</f>
        <v>50361</v>
      </c>
      <c r="J2" s="6">
        <v>52</v>
      </c>
      <c r="K2" s="14" t="str" cm="1">
        <f t="array" ref="K2">_xlfn.IFS(RAW[[#This Row],[Perf_Score]]&gt;=95,"Outstanding",RAW[[#This Row],[Perf_Score]]&gt;=85,"Exceeding",RAW[[#This Row],[Perf_Score]]&gt;=70,"Achieving",RAW[[#This Row],[Perf_Score]]&gt;=50,"Developing",RAW[[#This Row],[Perf_Score]]&lt;=49,"Needs Improvement")</f>
        <v>Developing</v>
      </c>
      <c r="L2" s="14" t="s">
        <v>29</v>
      </c>
      <c r="M2" s="17">
        <f>IF(OR(RAW[[#This Row],[Employment Status]]="Left",RAW[[#This Row],[Employment Status]]="Resigned" ), 1, 0)</f>
        <v>0</v>
      </c>
      <c r="N2" s="17" t="str" cm="1">
        <f t="array" ref="N2">_xlfn.IFS(RAW[[#This Row],[Left/Resigned Band]]=0,"Active",RAW[[#This Row],[Left/Resigned Band]]=1,"Left")</f>
        <v>Active</v>
      </c>
      <c r="O2" s="22" t="str" cm="1">
        <f t="array" ref="O2">_xlfn.IFS(RAW[[#This Row],[Perf_Score]]&gt;=95,"0.12",RAW[[#This Row],[Perf_Score]]&gt;=85,"0.08",RAW[[#This Row],[Perf_Score]]&gt;=70,"0.05",RAW[[#This Row],[Perf_Score]]&gt;=50,"0.02",RAW[[#This Row],[Perf_Score]]&lt;=49,"0")</f>
        <v>0.02</v>
      </c>
      <c r="P2" s="8">
        <f>RAW[[#This Row],[Estimated Median Salary]]*RAW[[#This Row],[Eligible Bonus Amount]]</f>
        <v>1007.22</v>
      </c>
    </row>
    <row r="3" spans="1:16" hidden="1" x14ac:dyDescent="0.25">
      <c r="A3" t="s">
        <v>10</v>
      </c>
      <c r="B3" t="s">
        <v>188</v>
      </c>
      <c r="C3" t="s">
        <v>11</v>
      </c>
      <c r="D3" t="str">
        <f t="shared" si="0"/>
        <v>MKT04</v>
      </c>
      <c r="E3" t="str">
        <f>VLOOKUP(RAW[[#This Row],[Dept Code]],Table4[#All],2,FALSE)</f>
        <v>Marketing</v>
      </c>
      <c r="F3" s="2">
        <v>44659</v>
      </c>
      <c r="G3" s="6">
        <f ca="1">DATEDIF(RAW[[#This Row],[Hire Date]], TODAY(), "Y")</f>
        <v>4</v>
      </c>
      <c r="H3" s="12">
        <v>112673</v>
      </c>
      <c r="I3" s="12" cm="1">
        <f t="array" ref="I3">IF(H3="",MEDIAN(IF(($E$2:$E$151=E3)*($H$2:$H$151&lt;&gt;""),$H$2:$H$151)),H3)</f>
        <v>112673</v>
      </c>
      <c r="J3"/>
      <c r="K3" t="str" cm="1">
        <f t="array" ref="K3">_xlfn.IFS(RAW[[#This Row],[Perf_Score]]&gt;=95,"Outstanding",RAW[[#This Row],[Perf_Score]]&gt;=85,"Exceeding",RAW[[#This Row],[Perf_Score]]&gt;=70,"Achieving",RAW[[#This Row],[Perf_Score]]&gt;=50,"Developing",RAW[[#This Row],[Perf_Score]]&lt;=49,"Needs Improvement")</f>
        <v>Needs Improvement</v>
      </c>
      <c r="L3" t="s">
        <v>12</v>
      </c>
      <c r="M3">
        <f>IF(OR(RAW[[#This Row],[Employment Status]]="Left",RAW[[#This Row],[Employment Status]]="Resigned" ), 1, 0)</f>
        <v>0</v>
      </c>
      <c r="N3" t="str" cm="1">
        <f t="array" ref="N3">_xlfn.IFS(RAW[[#This Row],[Left/Resigned Band]]=0,"Active",RAW[[#This Row],[Left/Resigned Band]]=1,"Left")</f>
        <v>Active</v>
      </c>
      <c r="O3" t="str" cm="1">
        <f t="array" ref="O3">_xlfn.IFS(RAW[[#This Row],[Perf_Score]]&gt;=95,"0.12",RAW[[#This Row],[Perf_Score]]&gt;=85,"0.08",RAW[[#This Row],[Perf_Score]]&gt;=70,"0.05",RAW[[#This Row],[Perf_Score]]&gt;=50,"0.02",RAW[[#This Row],[Perf_Score]]&lt;=49,"0")</f>
        <v>0</v>
      </c>
      <c r="P3" s="3">
        <f t="shared" ref="P3:P31" si="1">SUM(O:O)</f>
        <v>0</v>
      </c>
    </row>
    <row r="4" spans="1:16" x14ac:dyDescent="0.25">
      <c r="A4" s="14" t="s">
        <v>13</v>
      </c>
      <c r="B4" s="14" t="s">
        <v>189</v>
      </c>
      <c r="C4" t="s">
        <v>14</v>
      </c>
      <c r="D4" s="14" t="str">
        <f t="shared" si="0"/>
        <v>IT02</v>
      </c>
      <c r="E4" s="14" t="str">
        <f>VLOOKUP(RAW[[#This Row],[Dept Code]],Table4[#All],2,FALSE)</f>
        <v>Information Technology</v>
      </c>
      <c r="F4" s="2">
        <v>42431</v>
      </c>
      <c r="G4" s="6">
        <f ca="1">DATEDIF(RAW[[#This Row],[Hire Date]], TODAY(), "Y")</f>
        <v>10</v>
      </c>
      <c r="H4" s="12">
        <v>114425</v>
      </c>
      <c r="I4" s="12" cm="1">
        <f t="array" ref="I4">IF(H4="",MEDIAN(IF(($E$2:$E$151=E4)*($H$2:$H$151&lt;&gt;""),$H$2:$H$151)),H4)</f>
        <v>114425</v>
      </c>
      <c r="J4" s="6">
        <v>54</v>
      </c>
      <c r="K4" s="14" t="str" cm="1">
        <f t="array" ref="K4">_xlfn.IFS(RAW[[#This Row],[Perf_Score]]&gt;=95,"Outstanding",RAW[[#This Row],[Perf_Score]]&gt;=85,"Exceeding",RAW[[#This Row],[Perf_Score]]&gt;=70,"Achieving",RAW[[#This Row],[Perf_Score]]&gt;=50,"Developing",RAW[[#This Row],[Perf_Score]]&lt;=49,"Needs Improvement")</f>
        <v>Developing</v>
      </c>
      <c r="L4" s="14" t="s">
        <v>19</v>
      </c>
      <c r="M4" s="17">
        <f>IF(OR(RAW[[#This Row],[Employment Status]]="Left",RAW[[#This Row],[Employment Status]]="Resigned" ), 1, 0)</f>
        <v>1</v>
      </c>
      <c r="N4" s="17" t="str" cm="1">
        <f t="array" ref="N4">_xlfn.IFS(RAW[[#This Row],[Left/Resigned Band]]=0,"Active",RAW[[#This Row],[Left/Resigned Band]]=1,"Left")</f>
        <v>Left</v>
      </c>
      <c r="O4" s="22" t="str" cm="1">
        <f t="array" ref="O4">_xlfn.IFS(RAW[[#This Row],[Perf_Score]]&gt;=95,"0.12",RAW[[#This Row],[Perf_Score]]&gt;=85,"0.08",RAW[[#This Row],[Perf_Score]]&gt;=70,"0.05",RAW[[#This Row],[Perf_Score]]&gt;=50,"0.02",RAW[[#This Row],[Perf_Score]]&lt;=49,"0")</f>
        <v>0.02</v>
      </c>
      <c r="P4" s="8">
        <f>RAW[[#This Row],[Salary]]*RAW[[#This Row],[Eligible Bonus Amount]]</f>
        <v>2288.5</v>
      </c>
    </row>
    <row r="5" spans="1:16" x14ac:dyDescent="0.25">
      <c r="A5" s="14" t="s">
        <v>15</v>
      </c>
      <c r="B5" s="14" t="s">
        <v>190</v>
      </c>
      <c r="C5" t="s">
        <v>16</v>
      </c>
      <c r="D5" s="14" t="str">
        <f t="shared" si="0"/>
        <v>FIN03</v>
      </c>
      <c r="E5" s="14" t="str">
        <f>VLOOKUP(RAW[[#This Row],[Dept Code]],Table4[#All],2,FALSE)</f>
        <v>Finance</v>
      </c>
      <c r="F5" s="2">
        <v>45110</v>
      </c>
      <c r="G5" s="6">
        <f ca="1">DATEDIF(RAW[[#This Row],[Hire Date]], TODAY(), "Y")</f>
        <v>3</v>
      </c>
      <c r="H5" s="12">
        <v>103831</v>
      </c>
      <c r="I5" s="12" cm="1">
        <f t="array" ref="I5">IF(H5="",MEDIAN(IF(($E$2:$E$151=E5)*($H$2:$H$151&lt;&gt;""),$H$2:$H$151)),H5)</f>
        <v>103831</v>
      </c>
      <c r="J5" s="6">
        <v>70</v>
      </c>
      <c r="K5" s="14" t="str" cm="1">
        <f t="array" ref="K5">_xlfn.IFS(RAW[[#This Row],[Perf_Score]]&gt;=95,"Outstanding",RAW[[#This Row],[Perf_Score]]&gt;=85,"Exceeding",RAW[[#This Row],[Perf_Score]]&gt;=70,"Achieving",RAW[[#This Row],[Perf_Score]]&gt;=50,"Developing",RAW[[#This Row],[Perf_Score]]&lt;=49,"Needs Improvement")</f>
        <v>Achieving</v>
      </c>
      <c r="L5" s="14" t="s">
        <v>29</v>
      </c>
      <c r="M5" s="17">
        <f>IF(OR(RAW[[#This Row],[Employment Status]]="Left",RAW[[#This Row],[Employment Status]]="Resigned" ), 1, 0)</f>
        <v>0</v>
      </c>
      <c r="N5" s="17" t="str" cm="1">
        <f t="array" ref="N5">_xlfn.IFS(RAW[[#This Row],[Left/Resigned Band]]=0,"Active",RAW[[#This Row],[Left/Resigned Band]]=1,"Left")</f>
        <v>Active</v>
      </c>
      <c r="O5" s="22" t="str" cm="1">
        <f t="array" ref="O5">_xlfn.IFS(RAW[[#This Row],[Perf_Score]]&gt;=95,"0.12",RAW[[#This Row],[Perf_Score]]&gt;=85,"0.08",RAW[[#This Row],[Perf_Score]]&gt;=70,"0.05",RAW[[#This Row],[Perf_Score]]&gt;=50,"0.02",RAW[[#This Row],[Perf_Score]]&lt;=49,"0")</f>
        <v>0.05</v>
      </c>
      <c r="P5" s="8">
        <f>RAW[[#This Row],[Salary]]*RAW[[#This Row],[Eligible Bonus Amount]]</f>
        <v>5191.55</v>
      </c>
    </row>
    <row r="6" spans="1:16" x14ac:dyDescent="0.25">
      <c r="A6" s="14" t="s">
        <v>17</v>
      </c>
      <c r="B6" s="14" t="s">
        <v>191</v>
      </c>
      <c r="C6" t="s">
        <v>8</v>
      </c>
      <c r="D6" s="14" t="str">
        <f t="shared" si="0"/>
        <v>IT02</v>
      </c>
      <c r="E6" s="14" t="str">
        <f>VLOOKUP(RAW[[#This Row],[Dept Code]],Table4[#All],2,FALSE)</f>
        <v>Information Technology</v>
      </c>
      <c r="F6" s="2">
        <v>44977</v>
      </c>
      <c r="G6" s="6">
        <f ca="1">DATEDIF(RAW[[#This Row],[Hire Date]], TODAY(), "Y")</f>
        <v>3</v>
      </c>
      <c r="H6" s="12">
        <v>73785</v>
      </c>
      <c r="I6" s="12" cm="1">
        <f t="array" ref="I6">IF(H6="",MEDIAN(IF(($E$2:$E$151=E6)*($H$2:$H$151&lt;&gt;""),$H$2:$H$151)),H6)</f>
        <v>73785</v>
      </c>
      <c r="J6" s="6">
        <v>40</v>
      </c>
      <c r="K6" s="14" t="str" cm="1">
        <f t="array" ref="K6">_xlfn.IFS(RAW[[#This Row],[Perf_Score]]&gt;=95,"Outstanding",RAW[[#This Row],[Perf_Score]]&gt;=85,"Exceeding",RAW[[#This Row],[Perf_Score]]&gt;=70,"Achieving",RAW[[#This Row],[Perf_Score]]&gt;=50,"Developing",RAW[[#This Row],[Perf_Score]]&lt;=49,"Needs Improvement")</f>
        <v>Needs Improvement</v>
      </c>
      <c r="L6" s="14" t="s">
        <v>19</v>
      </c>
      <c r="M6" s="17">
        <f>IF(OR(RAW[[#This Row],[Employment Status]]="Left",RAW[[#This Row],[Employment Status]]="Resigned" ), 1, 0)</f>
        <v>1</v>
      </c>
      <c r="N6" s="17" t="str" cm="1">
        <f t="array" ref="N6">_xlfn.IFS(RAW[[#This Row],[Left/Resigned Band]]=0,"Active",RAW[[#This Row],[Left/Resigned Band]]=1,"Left")</f>
        <v>Left</v>
      </c>
      <c r="O6" s="22" t="str" cm="1">
        <f t="array" ref="O6">_xlfn.IFS(RAW[[#This Row],[Perf_Score]]&gt;=95,"0.12",RAW[[#This Row],[Perf_Score]]&gt;=85,"0.08",RAW[[#This Row],[Perf_Score]]&gt;=70,"0.05",RAW[[#This Row],[Perf_Score]]&gt;=50,"0.02",RAW[[#This Row],[Perf_Score]]&lt;=49,"0")</f>
        <v>0</v>
      </c>
      <c r="P6" s="8">
        <f>RAW[[#This Row],[Salary]]*RAW[[#This Row],[Eligible Bonus Amount]]</f>
        <v>0</v>
      </c>
    </row>
    <row r="7" spans="1:16" x14ac:dyDescent="0.25">
      <c r="A7" s="14" t="s">
        <v>20</v>
      </c>
      <c r="B7" s="14" t="s">
        <v>192</v>
      </c>
      <c r="C7" t="s">
        <v>21</v>
      </c>
      <c r="D7" s="14" t="str">
        <f t="shared" si="0"/>
        <v>OPS06</v>
      </c>
      <c r="E7" s="14" t="str">
        <f>VLOOKUP(RAW[[#This Row],[Dept Code]],Table4[#All],2,FALSE)</f>
        <v>Operations</v>
      </c>
      <c r="F7" s="2">
        <v>43892</v>
      </c>
      <c r="G7" s="6">
        <f ca="1">DATEDIF(RAW[[#This Row],[Hire Date]], TODAY(), "Y")</f>
        <v>6</v>
      </c>
      <c r="H7" s="12">
        <v>115882</v>
      </c>
      <c r="I7" s="12" cm="1">
        <f t="array" ref="I7">IF(H7="",MEDIAN(IF(($E$2:$E$151=E7)*($H$2:$H$151&lt;&gt;""),$H$2:$H$151)),H7)</f>
        <v>115882</v>
      </c>
      <c r="J7" s="6">
        <v>49</v>
      </c>
      <c r="K7" s="14" t="str" cm="1">
        <f t="array" ref="K7">_xlfn.IFS(RAW[[#This Row],[Perf_Score]]&gt;=95,"Outstanding",RAW[[#This Row],[Perf_Score]]&gt;=85,"Exceeding",RAW[[#This Row],[Perf_Score]]&gt;=70,"Achieving",RAW[[#This Row],[Perf_Score]]&gt;=50,"Developing",RAW[[#This Row],[Perf_Score]]&lt;=49,"Needs Improvement")</f>
        <v>Needs Improvement</v>
      </c>
      <c r="L7" s="14" t="s">
        <v>296</v>
      </c>
      <c r="M7" s="17">
        <f>IF(OR(RAW[[#This Row],[Employment Status]]="Left",RAW[[#This Row],[Employment Status]]="Resigned" ), 1, 0)</f>
        <v>0</v>
      </c>
      <c r="N7" s="17" t="str" cm="1">
        <f t="array" ref="N7">_xlfn.IFS(RAW[[#This Row],[Left/Resigned Band]]=0,"Active",RAW[[#This Row],[Left/Resigned Band]]=1,"Left")</f>
        <v>Active</v>
      </c>
      <c r="O7" s="22" t="str" cm="1">
        <f t="array" ref="O7">_xlfn.IFS(RAW[[#This Row],[Perf_Score]]&gt;=95,"0.12",RAW[[#This Row],[Perf_Score]]&gt;=85,"0.08",RAW[[#This Row],[Perf_Score]]&gt;=70,"0.05",RAW[[#This Row],[Perf_Score]]&gt;=50,"0.02",RAW[[#This Row],[Perf_Score]]&lt;=49,"0")</f>
        <v>0</v>
      </c>
      <c r="P7" s="8">
        <f>RAW[[#This Row],[Salary]]*RAW[[#This Row],[Eligible Bonus Amount]]</f>
        <v>0</v>
      </c>
    </row>
    <row r="8" spans="1:16" x14ac:dyDescent="0.25">
      <c r="A8" s="14" t="s">
        <v>22</v>
      </c>
      <c r="B8" s="14" t="s">
        <v>193</v>
      </c>
      <c r="C8" t="s">
        <v>23</v>
      </c>
      <c r="D8" s="14" t="str">
        <f t="shared" si="0"/>
        <v>OPS06</v>
      </c>
      <c r="E8" s="14" t="str">
        <f>VLOOKUP(RAW[[#This Row],[Dept Code]],Table4[#All],2,FALSE)</f>
        <v>Operations</v>
      </c>
      <c r="F8" s="2">
        <v>45272</v>
      </c>
      <c r="G8" s="6">
        <f ca="1">DATEDIF(RAW[[#This Row],[Hire Date]], TODAY(), "Y")</f>
        <v>2</v>
      </c>
      <c r="H8" s="12">
        <v>59980</v>
      </c>
      <c r="I8" s="12" cm="1">
        <f t="array" ref="I8">IF(H8="",MEDIAN(IF(($E$2:$E$151=E8)*($H$2:$H$151&lt;&gt;""),$H$2:$H$151)),H8)</f>
        <v>59980</v>
      </c>
      <c r="J8" s="6">
        <v>70</v>
      </c>
      <c r="K8" s="14" t="str" cm="1">
        <f t="array" ref="K8">_xlfn.IFS(RAW[[#This Row],[Perf_Score]]&gt;=95,"Outstanding",RAW[[#This Row],[Perf_Score]]&gt;=85,"Exceeding",RAW[[#This Row],[Perf_Score]]&gt;=70,"Achieving",RAW[[#This Row],[Perf_Score]]&gt;=50,"Developing",RAW[[#This Row],[Perf_Score]]&lt;=49,"Needs Improvement")</f>
        <v>Achieving</v>
      </c>
      <c r="L8" s="14" t="s">
        <v>19</v>
      </c>
      <c r="M8" s="17">
        <f>IF(OR(RAW[[#This Row],[Employment Status]]="Left",RAW[[#This Row],[Employment Status]]="Resigned" ), 1, 0)</f>
        <v>1</v>
      </c>
      <c r="N8" s="17" t="str" cm="1">
        <f t="array" ref="N8">_xlfn.IFS(RAW[[#This Row],[Left/Resigned Band]]=0,"Active",RAW[[#This Row],[Left/Resigned Band]]=1,"Left")</f>
        <v>Left</v>
      </c>
      <c r="O8" s="22" t="str" cm="1">
        <f t="array" ref="O8">_xlfn.IFS(RAW[[#This Row],[Perf_Score]]&gt;=95,"0.12",RAW[[#This Row],[Perf_Score]]&gt;=85,"0.08",RAW[[#This Row],[Perf_Score]]&gt;=70,"0.05",RAW[[#This Row],[Perf_Score]]&gt;=50,"0.02",RAW[[#This Row],[Perf_Score]]&lt;=49,"0")</f>
        <v>0.05</v>
      </c>
      <c r="P8" s="8">
        <f>RAW[[#This Row],[Salary]]*RAW[[#This Row],[Eligible Bonus Amount]]</f>
        <v>2999</v>
      </c>
    </row>
    <row r="9" spans="1:16" x14ac:dyDescent="0.25">
      <c r="A9" s="14" t="s">
        <v>24</v>
      </c>
      <c r="B9" s="14" t="s">
        <v>194</v>
      </c>
      <c r="C9" t="s">
        <v>23</v>
      </c>
      <c r="D9" s="14" t="str">
        <f t="shared" si="0"/>
        <v>OPS06</v>
      </c>
      <c r="E9" s="14" t="str">
        <f>VLOOKUP(RAW[[#This Row],[Dept Code]],Table4[#All],2,FALSE)</f>
        <v>Operations</v>
      </c>
      <c r="F9" s="2">
        <v>44174</v>
      </c>
      <c r="G9" s="6">
        <f ca="1">DATEDIF(RAW[[#This Row],[Hire Date]], TODAY(), "Y")</f>
        <v>5</v>
      </c>
      <c r="H9" s="12">
        <v>68728</v>
      </c>
      <c r="I9" s="12" cm="1">
        <f t="array" ref="I9">IF(H9="",MEDIAN(IF(($E$2:$E$151=E9)*($H$2:$H$151&lt;&gt;""),$H$2:$H$151)),H9)</f>
        <v>68728</v>
      </c>
      <c r="J9" s="6">
        <v>45</v>
      </c>
      <c r="K9" s="14" t="str" cm="1">
        <f t="array" ref="K9">_xlfn.IFS(RAW[[#This Row],[Perf_Score]]&gt;=95,"Outstanding",RAW[[#This Row],[Perf_Score]]&gt;=85,"Exceeding",RAW[[#This Row],[Perf_Score]]&gt;=70,"Achieving",RAW[[#This Row],[Perf_Score]]&gt;=50,"Developing",RAW[[#This Row],[Perf_Score]]&lt;=49,"Needs Improvement")</f>
        <v>Needs Improvement</v>
      </c>
      <c r="L9" s="14" t="s">
        <v>296</v>
      </c>
      <c r="M9" s="17">
        <f>IF(OR(RAW[[#This Row],[Employment Status]]="Left",RAW[[#This Row],[Employment Status]]="Resigned" ), 1, 0)</f>
        <v>0</v>
      </c>
      <c r="N9" s="17" t="str" cm="1">
        <f t="array" ref="N9">_xlfn.IFS(RAW[[#This Row],[Left/Resigned Band]]=0,"Active",RAW[[#This Row],[Left/Resigned Band]]=1,"Left")</f>
        <v>Active</v>
      </c>
      <c r="O9" s="22" t="str" cm="1">
        <f t="array" ref="O9">_xlfn.IFS(RAW[[#This Row],[Perf_Score]]&gt;=95,"0.12",RAW[[#This Row],[Perf_Score]]&gt;=85,"0.08",RAW[[#This Row],[Perf_Score]]&gt;=70,"0.05",RAW[[#This Row],[Perf_Score]]&gt;=50,"0.02",RAW[[#This Row],[Perf_Score]]&lt;=49,"0")</f>
        <v>0</v>
      </c>
      <c r="P9" s="8">
        <f>RAW[[#This Row],[Salary]]*RAW[[#This Row],[Eligible Bonus Amount]]</f>
        <v>0</v>
      </c>
    </row>
    <row r="10" spans="1:16" x14ac:dyDescent="0.25">
      <c r="A10" s="14" t="s">
        <v>25</v>
      </c>
      <c r="B10" s="14" t="s">
        <v>26</v>
      </c>
      <c r="C10" t="s">
        <v>16</v>
      </c>
      <c r="D10" s="14" t="str">
        <f t="shared" si="0"/>
        <v>FIN03</v>
      </c>
      <c r="E10" s="14" t="str">
        <f>VLOOKUP(RAW[[#This Row],[Dept Code]],Table4[#All],2,FALSE)</f>
        <v>Finance</v>
      </c>
      <c r="F10" s="2">
        <v>43107</v>
      </c>
      <c r="G10" s="6">
        <f ca="1">DATEDIF(RAW[[#This Row],[Hire Date]], TODAY(), "Y")</f>
        <v>8</v>
      </c>
      <c r="H10" s="12">
        <v>102139</v>
      </c>
      <c r="I10" s="12" cm="1">
        <f t="array" ref="I10">IF(H10="",MEDIAN(IF(($E$2:$E$151=E10)*($H$2:$H$151&lt;&gt;""),$H$2:$H$151)),H10)</f>
        <v>102139</v>
      </c>
      <c r="J10" s="6">
        <v>79</v>
      </c>
      <c r="K10" s="14" t="str" cm="1">
        <f t="array" ref="K10">_xlfn.IFS(RAW[[#This Row],[Perf_Score]]&gt;=95,"Outstanding",RAW[[#This Row],[Perf_Score]]&gt;=85,"Exceeding",RAW[[#This Row],[Perf_Score]]&gt;=70,"Achieving",RAW[[#This Row],[Perf_Score]]&gt;=50,"Developing",RAW[[#This Row],[Perf_Score]]&lt;=49,"Needs Improvement")</f>
        <v>Achieving</v>
      </c>
      <c r="L10" s="14" t="s">
        <v>29</v>
      </c>
      <c r="M10" s="17">
        <f>IF(OR(RAW[[#This Row],[Employment Status]]="Left",RAW[[#This Row],[Employment Status]]="Resigned" ), 1, 0)</f>
        <v>0</v>
      </c>
      <c r="N10" s="17" t="str" cm="1">
        <f t="array" ref="N10">_xlfn.IFS(RAW[[#This Row],[Left/Resigned Band]]=0,"Active",RAW[[#This Row],[Left/Resigned Band]]=1,"Left")</f>
        <v>Active</v>
      </c>
      <c r="O10" s="22" t="str" cm="1">
        <f t="array" ref="O10">_xlfn.IFS(RAW[[#This Row],[Perf_Score]]&gt;=95,"0.12",RAW[[#This Row],[Perf_Score]]&gt;=85,"0.08",RAW[[#This Row],[Perf_Score]]&gt;=70,"0.05",RAW[[#This Row],[Perf_Score]]&gt;=50,"0.02",RAW[[#This Row],[Perf_Score]]&lt;=49,"0")</f>
        <v>0.05</v>
      </c>
      <c r="P10" s="8">
        <f>RAW[[#This Row],[Salary]]*RAW[[#This Row],[Eligible Bonus Amount]]</f>
        <v>5106.9500000000007</v>
      </c>
    </row>
    <row r="11" spans="1:16" x14ac:dyDescent="0.25">
      <c r="A11" s="14" t="s">
        <v>27</v>
      </c>
      <c r="B11" s="14" t="s">
        <v>195</v>
      </c>
      <c r="C11" t="s">
        <v>28</v>
      </c>
      <c r="D11" s="14" t="str">
        <f t="shared" si="0"/>
        <v>SAL05</v>
      </c>
      <c r="E11" s="14" t="str">
        <f>VLOOKUP(RAW[[#This Row],[Dept Code]],Table4[#All],2,FALSE)</f>
        <v>Sales</v>
      </c>
      <c r="F11" s="2">
        <v>42676</v>
      </c>
      <c r="G11" s="6">
        <f ca="1">DATEDIF(RAW[[#This Row],[Hire Date]], TODAY(), "Y")</f>
        <v>9</v>
      </c>
      <c r="H11" s="12">
        <v>94998</v>
      </c>
      <c r="I11" s="12" cm="1">
        <f t="array" ref="I11">IF(H11="",MEDIAN(IF(($E$2:$E$151=E11)*($H$2:$H$151&lt;&gt;""),$H$2:$H$151)),H11)</f>
        <v>94998</v>
      </c>
      <c r="J11" s="6">
        <v>58</v>
      </c>
      <c r="K11" s="14" t="str" cm="1">
        <f t="array" ref="K11">_xlfn.IFS(RAW[[#This Row],[Perf_Score]]&gt;=95,"Outstanding",RAW[[#This Row],[Perf_Score]]&gt;=85,"Exceeding",RAW[[#This Row],[Perf_Score]]&gt;=70,"Achieving",RAW[[#This Row],[Perf_Score]]&gt;=50,"Developing",RAW[[#This Row],[Perf_Score]]&lt;=49,"Needs Improvement")</f>
        <v>Developing</v>
      </c>
      <c r="L11" s="14" t="s">
        <v>29</v>
      </c>
      <c r="M11" s="17">
        <f>IF(OR(RAW[[#This Row],[Employment Status]]="Left",RAW[[#This Row],[Employment Status]]="Resigned" ), 1, 0)</f>
        <v>0</v>
      </c>
      <c r="N11" s="17" t="str" cm="1">
        <f t="array" ref="N11">_xlfn.IFS(RAW[[#This Row],[Left/Resigned Band]]=0,"Active",RAW[[#This Row],[Left/Resigned Band]]=1,"Left")</f>
        <v>Active</v>
      </c>
      <c r="O11" s="22" t="str" cm="1">
        <f t="array" ref="O11">_xlfn.IFS(RAW[[#This Row],[Perf_Score]]&gt;=95,"0.12",RAW[[#This Row],[Perf_Score]]&gt;=85,"0.08",RAW[[#This Row],[Perf_Score]]&gt;=70,"0.05",RAW[[#This Row],[Perf_Score]]&gt;=50,"0.02",RAW[[#This Row],[Perf_Score]]&lt;=49,"0")</f>
        <v>0.02</v>
      </c>
      <c r="P11" s="8">
        <f>RAW[[#This Row],[Salary]]*RAW[[#This Row],[Eligible Bonus Amount]]</f>
        <v>1899.96</v>
      </c>
    </row>
    <row r="12" spans="1:16" x14ac:dyDescent="0.25">
      <c r="A12" s="14" t="s">
        <v>30</v>
      </c>
      <c r="B12" s="14" t="s">
        <v>196</v>
      </c>
      <c r="C12" t="s">
        <v>31</v>
      </c>
      <c r="D12" s="14" t="str">
        <f t="shared" si="0"/>
        <v>SAL05</v>
      </c>
      <c r="E12" s="14" t="str">
        <f>VLOOKUP(RAW[[#This Row],[Dept Code]],Table4[#All],2,FALSE)</f>
        <v>Sales</v>
      </c>
      <c r="F12" s="2">
        <v>43911</v>
      </c>
      <c r="G12" s="6">
        <f ca="1">DATEDIF(RAW[[#This Row],[Hire Date]], TODAY(), "Y")</f>
        <v>6</v>
      </c>
      <c r="H12" s="12">
        <v>118635</v>
      </c>
      <c r="I12" s="12" cm="1">
        <f t="array" ref="I12">IF(H12="",MEDIAN(IF(($E$2:$E$151=E12)*($H$2:$H$151&lt;&gt;""),$H$2:$H$151)),H12)</f>
        <v>118635</v>
      </c>
      <c r="J12" s="6">
        <v>49</v>
      </c>
      <c r="K12" s="14" t="str" cm="1">
        <f t="array" ref="K12">_xlfn.IFS(RAW[[#This Row],[Perf_Score]]&gt;=95,"Outstanding",RAW[[#This Row],[Perf_Score]]&gt;=85,"Exceeding",RAW[[#This Row],[Perf_Score]]&gt;=70,"Achieving",RAW[[#This Row],[Perf_Score]]&gt;=50,"Developing",RAW[[#This Row],[Perf_Score]]&lt;=49,"Needs Improvement")</f>
        <v>Needs Improvement</v>
      </c>
      <c r="L12" s="14" t="s">
        <v>29</v>
      </c>
      <c r="M12" s="17">
        <f>IF(OR(RAW[[#This Row],[Employment Status]]="Left",RAW[[#This Row],[Employment Status]]="Resigned" ), 1, 0)</f>
        <v>0</v>
      </c>
      <c r="N12" s="17" t="str" cm="1">
        <f t="array" ref="N12">_xlfn.IFS(RAW[[#This Row],[Left/Resigned Band]]=0,"Active",RAW[[#This Row],[Left/Resigned Band]]=1,"Left")</f>
        <v>Active</v>
      </c>
      <c r="O12" s="22" t="str" cm="1">
        <f t="array" ref="O12">_xlfn.IFS(RAW[[#This Row],[Perf_Score]]&gt;=95,"0.12",RAW[[#This Row],[Perf_Score]]&gt;=85,"0.08",RAW[[#This Row],[Perf_Score]]&gt;=70,"0.05",RAW[[#This Row],[Perf_Score]]&gt;=50,"0.02",RAW[[#This Row],[Perf_Score]]&lt;=49,"0")</f>
        <v>0</v>
      </c>
      <c r="P12" s="8">
        <f>RAW[[#This Row],[Salary]]*RAW[[#This Row],[Eligible Bonus Amount]]</f>
        <v>0</v>
      </c>
    </row>
    <row r="13" spans="1:16" x14ac:dyDescent="0.25">
      <c r="A13" s="14" t="s">
        <v>32</v>
      </c>
      <c r="B13" s="14" t="s">
        <v>197</v>
      </c>
      <c r="C13" t="s">
        <v>8</v>
      </c>
      <c r="D13" s="14" t="str">
        <f t="shared" si="0"/>
        <v>IT02</v>
      </c>
      <c r="E13" s="14" t="str">
        <f>VLOOKUP(RAW[[#This Row],[Dept Code]],Table4[#All],2,FALSE)</f>
        <v>Information Technology</v>
      </c>
      <c r="F13" s="2">
        <v>42425</v>
      </c>
      <c r="G13" s="6">
        <f ca="1">DATEDIF(RAW[[#This Row],[Hire Date]], TODAY(), "Y")</f>
        <v>10</v>
      </c>
      <c r="H13" s="12">
        <v>76918</v>
      </c>
      <c r="I13" s="12" cm="1">
        <f t="array" ref="I13">IF(H13="",MEDIAN(IF(($E$2:$E$151=E13)*($H$2:$H$151&lt;&gt;""),$H$2:$H$151)),H13)</f>
        <v>76918</v>
      </c>
      <c r="J13" s="6">
        <v>62</v>
      </c>
      <c r="K13" s="14" t="str" cm="1">
        <f t="array" ref="K13">_xlfn.IFS(RAW[[#This Row],[Perf_Score]]&gt;=95,"Outstanding",RAW[[#This Row],[Perf_Score]]&gt;=85,"Exceeding",RAW[[#This Row],[Perf_Score]]&gt;=70,"Achieving",RAW[[#This Row],[Perf_Score]]&gt;=50,"Developing",RAW[[#This Row],[Perf_Score]]&lt;=49,"Needs Improvement")</f>
        <v>Developing</v>
      </c>
      <c r="L13" s="14" t="s">
        <v>29</v>
      </c>
      <c r="M13" s="17">
        <f>IF(OR(RAW[[#This Row],[Employment Status]]="Left",RAW[[#This Row],[Employment Status]]="Resigned" ), 1, 0)</f>
        <v>0</v>
      </c>
      <c r="N13" s="17" t="str" cm="1">
        <f t="array" ref="N13">_xlfn.IFS(RAW[[#This Row],[Left/Resigned Band]]=0,"Active",RAW[[#This Row],[Left/Resigned Band]]=1,"Left")</f>
        <v>Active</v>
      </c>
      <c r="O13" s="22" t="str" cm="1">
        <f t="array" ref="O13">_xlfn.IFS(RAW[[#This Row],[Perf_Score]]&gt;=95,"0.12",RAW[[#This Row],[Perf_Score]]&gt;=85,"0.08",RAW[[#This Row],[Perf_Score]]&gt;=70,"0.05",RAW[[#This Row],[Perf_Score]]&gt;=50,"0.02",RAW[[#This Row],[Perf_Score]]&lt;=49,"0")</f>
        <v>0.02</v>
      </c>
      <c r="P13" s="8">
        <f>RAW[[#This Row],[Salary]]*RAW[[#This Row],[Eligible Bonus Amount]]</f>
        <v>1538.3600000000001</v>
      </c>
    </row>
    <row r="14" spans="1:16" x14ac:dyDescent="0.25">
      <c r="A14" s="14" t="s">
        <v>34</v>
      </c>
      <c r="B14" s="14" t="s">
        <v>198</v>
      </c>
      <c r="C14" t="s">
        <v>36</v>
      </c>
      <c r="D14" s="14" t="str">
        <f t="shared" si="0"/>
        <v>MKT04</v>
      </c>
      <c r="E14" s="14" t="str">
        <f>VLOOKUP(RAW[[#This Row],[Dept Code]],Table4[#All],2,FALSE)</f>
        <v>Marketing</v>
      </c>
      <c r="F14" s="2">
        <v>44364</v>
      </c>
      <c r="G14" s="6">
        <f ca="1">DATEDIF(RAW[[#This Row],[Hire Date]], TODAY(), "Y")</f>
        <v>5</v>
      </c>
      <c r="H14" s="12">
        <v>61408</v>
      </c>
      <c r="I14" s="12" cm="1">
        <f t="array" ref="I14">IF(H14="",MEDIAN(IF(($E$2:$E$151=E14)*($H$2:$H$151&lt;&gt;""),$H$2:$H$151)),H14)</f>
        <v>61408</v>
      </c>
      <c r="J14" s="6">
        <v>48</v>
      </c>
      <c r="K14" s="14" t="str" cm="1">
        <f t="array" ref="K14">_xlfn.IFS(RAW[[#This Row],[Perf_Score]]&gt;=95,"Outstanding",RAW[[#This Row],[Perf_Score]]&gt;=85,"Exceeding",RAW[[#This Row],[Perf_Score]]&gt;=70,"Achieving",RAW[[#This Row],[Perf_Score]]&gt;=50,"Developing",RAW[[#This Row],[Perf_Score]]&lt;=49,"Needs Improvement")</f>
        <v>Needs Improvement</v>
      </c>
      <c r="L14" s="14" t="s">
        <v>296</v>
      </c>
      <c r="M14" s="17">
        <f>IF(OR(RAW[[#This Row],[Employment Status]]="Left",RAW[[#This Row],[Employment Status]]="Resigned" ), 1, 0)</f>
        <v>0</v>
      </c>
      <c r="N14" s="17" t="str" cm="1">
        <f t="array" ref="N14">_xlfn.IFS(RAW[[#This Row],[Left/Resigned Band]]=0,"Active",RAW[[#This Row],[Left/Resigned Band]]=1,"Left")</f>
        <v>Active</v>
      </c>
      <c r="O14" s="22" t="str" cm="1">
        <f t="array" ref="O14">_xlfn.IFS(RAW[[#This Row],[Perf_Score]]&gt;=95,"0.12",RAW[[#This Row],[Perf_Score]]&gt;=85,"0.08",RAW[[#This Row],[Perf_Score]]&gt;=70,"0.05",RAW[[#This Row],[Perf_Score]]&gt;=50,"0.02",RAW[[#This Row],[Perf_Score]]&lt;=49,"0")</f>
        <v>0</v>
      </c>
      <c r="P14" s="8">
        <f>RAW[[#This Row],[Salary]]*RAW[[#This Row],[Eligible Bonus Amount]]</f>
        <v>0</v>
      </c>
    </row>
    <row r="15" spans="1:16" x14ac:dyDescent="0.25">
      <c r="A15" s="14" t="s">
        <v>37</v>
      </c>
      <c r="B15" s="14" t="s">
        <v>199</v>
      </c>
      <c r="C15" t="s">
        <v>11</v>
      </c>
      <c r="D15" s="14" t="str">
        <f t="shared" si="0"/>
        <v>MKT04</v>
      </c>
      <c r="E15" s="14" t="str">
        <f>VLOOKUP(RAW[[#This Row],[Dept Code]],Table4[#All],2,FALSE)</f>
        <v>Marketing</v>
      </c>
      <c r="F15" s="2">
        <v>44001</v>
      </c>
      <c r="G15" s="6">
        <f ca="1">DATEDIF(RAW[[#This Row],[Hire Date]], TODAY(), "Y")</f>
        <v>6</v>
      </c>
      <c r="H15" s="12">
        <v>99990</v>
      </c>
      <c r="I15" s="12" cm="1">
        <f t="array" ref="I15">IF(H15="",MEDIAN(IF(($E$2:$E$151=E15)*($H$2:$H$151&lt;&gt;""),$H$2:$H$151)),H15)</f>
        <v>99990</v>
      </c>
      <c r="J15" s="6">
        <v>54</v>
      </c>
      <c r="K15" s="14" t="str" cm="1">
        <f t="array" ref="K15">_xlfn.IFS(RAW[[#This Row],[Perf_Score]]&gt;=95,"Outstanding",RAW[[#This Row],[Perf_Score]]&gt;=85,"Exceeding",RAW[[#This Row],[Perf_Score]]&gt;=70,"Achieving",RAW[[#This Row],[Perf_Score]]&gt;=50,"Developing",RAW[[#This Row],[Perf_Score]]&lt;=49,"Needs Improvement")</f>
        <v>Developing</v>
      </c>
      <c r="L15" s="14" t="s">
        <v>29</v>
      </c>
      <c r="M15" s="17">
        <f>IF(OR(RAW[[#This Row],[Employment Status]]="Left",RAW[[#This Row],[Employment Status]]="Resigned" ), 1, 0)</f>
        <v>0</v>
      </c>
      <c r="N15" s="17" t="str" cm="1">
        <f t="array" ref="N15">_xlfn.IFS(RAW[[#This Row],[Left/Resigned Band]]=0,"Active",RAW[[#This Row],[Left/Resigned Band]]=1,"Left")</f>
        <v>Active</v>
      </c>
      <c r="O15" s="22" t="str" cm="1">
        <f t="array" ref="O15">_xlfn.IFS(RAW[[#This Row],[Perf_Score]]&gt;=95,"0.12",RAW[[#This Row],[Perf_Score]]&gt;=85,"0.08",RAW[[#This Row],[Perf_Score]]&gt;=70,"0.05",RAW[[#This Row],[Perf_Score]]&gt;=50,"0.02",RAW[[#This Row],[Perf_Score]]&lt;=49,"0")</f>
        <v>0.02</v>
      </c>
      <c r="P15" s="8">
        <f>RAW[[#This Row],[Salary]]*RAW[[#This Row],[Eligible Bonus Amount]]</f>
        <v>1999.8</v>
      </c>
    </row>
    <row r="16" spans="1:16" hidden="1" x14ac:dyDescent="0.25">
      <c r="A16" t="s">
        <v>38</v>
      </c>
      <c r="B16" t="s">
        <v>200</v>
      </c>
      <c r="C16" t="s">
        <v>40</v>
      </c>
      <c r="D16" t="str">
        <f t="shared" si="0"/>
        <v>MKT04</v>
      </c>
      <c r="E16" t="str">
        <f>VLOOKUP(RAW[[#This Row],[Dept Code]],Table4[#All],2,FALSE)</f>
        <v>Marketing</v>
      </c>
      <c r="F16" s="2">
        <v>43820</v>
      </c>
      <c r="G16" s="6">
        <f ca="1">DATEDIF(RAW[[#This Row],[Hire Date]], TODAY(), "Y")</f>
        <v>6</v>
      </c>
      <c r="H16" s="12">
        <v>80385</v>
      </c>
      <c r="I16" s="12" cm="1">
        <f t="array" ref="I16">IF(H16="",MEDIAN(IF(($E$2:$E$151=E16)*($H$2:$H$151&lt;&gt;""),$H$2:$H$151)),H16)</f>
        <v>80385</v>
      </c>
      <c r="J16"/>
      <c r="K16" t="str" cm="1">
        <f t="array" ref="K16">_xlfn.IFS(RAW[[#This Row],[Perf_Score]]&gt;=95,"Outstanding",RAW[[#This Row],[Perf_Score]]&gt;=85,"Exceeding",RAW[[#This Row],[Perf_Score]]&gt;=70,"Achieving",RAW[[#This Row],[Perf_Score]]&gt;=50,"Developing",RAW[[#This Row],[Perf_Score]]&lt;=49,"Needs Improvement")</f>
        <v>Needs Improvement</v>
      </c>
      <c r="L16" t="s">
        <v>9</v>
      </c>
      <c r="M16">
        <f>IF(OR(RAW[[#This Row],[Employment Status]]="Left",RAW[[#This Row],[Employment Status]]="Resigned" ), 1, 0)</f>
        <v>0</v>
      </c>
      <c r="N16" t="str" cm="1">
        <f t="array" ref="N16">_xlfn.IFS(RAW[[#This Row],[Left/Resigned Band]]=0,"Active",RAW[[#This Row],[Left/Resigned Band]]=1,"Left")</f>
        <v>Active</v>
      </c>
      <c r="O16" t="str" cm="1">
        <f t="array" ref="O16">_xlfn.IFS(RAW[[#This Row],[Perf_Score]]&gt;=95,"0.12",RAW[[#This Row],[Perf_Score]]&gt;=85,"0.08",RAW[[#This Row],[Perf_Score]]&gt;=70,"0.05",RAW[[#This Row],[Perf_Score]]&gt;=50,"0.02",RAW[[#This Row],[Perf_Score]]&lt;=49,"0")</f>
        <v>0</v>
      </c>
      <c r="P16" s="3">
        <f t="shared" si="1"/>
        <v>0</v>
      </c>
    </row>
    <row r="17" spans="1:16" x14ac:dyDescent="0.25">
      <c r="A17" s="14" t="s">
        <v>41</v>
      </c>
      <c r="B17" s="14" t="s">
        <v>201</v>
      </c>
      <c r="C17" t="s">
        <v>28</v>
      </c>
      <c r="D17" s="14" t="str">
        <f t="shared" si="0"/>
        <v>SAL05</v>
      </c>
      <c r="E17" s="14" t="str">
        <f>VLOOKUP(RAW[[#This Row],[Dept Code]],Table4[#All],2,FALSE)</f>
        <v>Sales</v>
      </c>
      <c r="F17" s="2">
        <v>45169</v>
      </c>
      <c r="G17" s="6">
        <f ca="1">DATEDIF(RAW[[#This Row],[Hire Date]], TODAY(), "Y")</f>
        <v>2</v>
      </c>
      <c r="H17" s="12">
        <v>65290</v>
      </c>
      <c r="I17" s="12" cm="1">
        <f t="array" ref="I17">IF(H17="",MEDIAN(IF(($E$2:$E$151=E17)*($H$2:$H$151&lt;&gt;""),$H$2:$H$151)),H17)</f>
        <v>65290</v>
      </c>
      <c r="J17" s="6">
        <v>77</v>
      </c>
      <c r="K17" s="14" t="str" cm="1">
        <f t="array" ref="K17">_xlfn.IFS(RAW[[#This Row],[Perf_Score]]&gt;=95,"Outstanding",RAW[[#This Row],[Perf_Score]]&gt;=85,"Exceeding",RAW[[#This Row],[Perf_Score]]&gt;=70,"Achieving",RAW[[#This Row],[Perf_Score]]&gt;=50,"Developing",RAW[[#This Row],[Perf_Score]]&lt;=49,"Needs Improvement")</f>
        <v>Achieving</v>
      </c>
      <c r="L17" s="14" t="s">
        <v>29</v>
      </c>
      <c r="M17" s="17">
        <f>IF(OR(RAW[[#This Row],[Employment Status]]="Left",RAW[[#This Row],[Employment Status]]="Resigned" ), 1, 0)</f>
        <v>0</v>
      </c>
      <c r="N17" s="17" t="str" cm="1">
        <f t="array" ref="N17">_xlfn.IFS(RAW[[#This Row],[Left/Resigned Band]]=0,"Active",RAW[[#This Row],[Left/Resigned Band]]=1,"Left")</f>
        <v>Active</v>
      </c>
      <c r="O17" s="22" t="str" cm="1">
        <f t="array" ref="O17">_xlfn.IFS(RAW[[#This Row],[Perf_Score]]&gt;=95,"0.12",RAW[[#This Row],[Perf_Score]]&gt;=85,"0.08",RAW[[#This Row],[Perf_Score]]&gt;=70,"0.05",RAW[[#This Row],[Perf_Score]]&gt;=50,"0.02",RAW[[#This Row],[Perf_Score]]&lt;=49,"0")</f>
        <v>0.05</v>
      </c>
      <c r="P17" s="8">
        <f>RAW[[#This Row],[Salary]]*RAW[[#This Row],[Eligible Bonus Amount]]</f>
        <v>3264.5</v>
      </c>
    </row>
    <row r="18" spans="1:16" x14ac:dyDescent="0.25">
      <c r="A18" s="14" t="s">
        <v>42</v>
      </c>
      <c r="B18" s="14" t="s">
        <v>202</v>
      </c>
      <c r="C18" t="s">
        <v>8</v>
      </c>
      <c r="D18" s="14" t="str">
        <f t="shared" si="0"/>
        <v>IT02</v>
      </c>
      <c r="E18" s="14" t="str">
        <f>VLOOKUP(RAW[[#This Row],[Dept Code]],Table4[#All],2,FALSE)</f>
        <v>Information Technology</v>
      </c>
      <c r="F18" s="2">
        <v>42337</v>
      </c>
      <c r="G18" s="6">
        <f ca="1">DATEDIF(RAW[[#This Row],[Hire Date]], TODAY(), "Y")</f>
        <v>10</v>
      </c>
      <c r="H18" s="12">
        <v>105765</v>
      </c>
      <c r="I18" s="12" cm="1">
        <f t="array" ref="I18">IF(H18="",MEDIAN(IF(($E$2:$E$151=E18)*($H$2:$H$151&lt;&gt;""),$H$2:$H$151)),H18)</f>
        <v>105765</v>
      </c>
      <c r="J18" s="6">
        <v>42</v>
      </c>
      <c r="K18" s="14" t="str" cm="1">
        <f t="array" ref="K18">_xlfn.IFS(RAW[[#This Row],[Perf_Score]]&gt;=95,"Outstanding",RAW[[#This Row],[Perf_Score]]&gt;=85,"Exceeding",RAW[[#This Row],[Perf_Score]]&gt;=70,"Achieving",RAW[[#This Row],[Perf_Score]]&gt;=50,"Developing",RAW[[#This Row],[Perf_Score]]&lt;=49,"Needs Improvement")</f>
        <v>Needs Improvement</v>
      </c>
      <c r="L18" s="14" t="s">
        <v>29</v>
      </c>
      <c r="M18" s="17">
        <f>IF(OR(RAW[[#This Row],[Employment Status]]="Left",RAW[[#This Row],[Employment Status]]="Resigned" ), 1, 0)</f>
        <v>0</v>
      </c>
      <c r="N18" s="17" t="str" cm="1">
        <f t="array" ref="N18">_xlfn.IFS(RAW[[#This Row],[Left/Resigned Band]]=0,"Active",RAW[[#This Row],[Left/Resigned Band]]=1,"Left")</f>
        <v>Active</v>
      </c>
      <c r="O18" s="22" t="str" cm="1">
        <f t="array" ref="O18">_xlfn.IFS(RAW[[#This Row],[Perf_Score]]&gt;=95,"0.12",RAW[[#This Row],[Perf_Score]]&gt;=85,"0.08",RAW[[#This Row],[Perf_Score]]&gt;=70,"0.05",RAW[[#This Row],[Perf_Score]]&gt;=50,"0.02",RAW[[#This Row],[Perf_Score]]&lt;=49,"0")</f>
        <v>0</v>
      </c>
      <c r="P18" s="8">
        <f>RAW[[#This Row],[Salary]]*RAW[[#This Row],[Eligible Bonus Amount]]</f>
        <v>0</v>
      </c>
    </row>
    <row r="19" spans="1:16" x14ac:dyDescent="0.25">
      <c r="A19" s="14" t="s">
        <v>43</v>
      </c>
      <c r="B19" s="14" t="s">
        <v>203</v>
      </c>
      <c r="C19" t="s">
        <v>28</v>
      </c>
      <c r="D19" s="14" t="str">
        <f t="shared" si="0"/>
        <v>SAL05</v>
      </c>
      <c r="E19" s="14" t="str">
        <f>VLOOKUP(RAW[[#This Row],[Dept Code]],Table4[#All],2,FALSE)</f>
        <v>Sales</v>
      </c>
      <c r="F19" s="2">
        <v>42899</v>
      </c>
      <c r="G19" s="6">
        <f ca="1">DATEDIF(RAW[[#This Row],[Hire Date]], TODAY(), "Y")</f>
        <v>9</v>
      </c>
      <c r="H19" s="12">
        <v>102921</v>
      </c>
      <c r="I19" s="12" cm="1">
        <f t="array" ref="I19">IF(H19="",MEDIAN(IF(($E$2:$E$151=E19)*($H$2:$H$151&lt;&gt;""),$H$2:$H$151)),H19)</f>
        <v>102921</v>
      </c>
      <c r="J19" s="6">
        <v>49</v>
      </c>
      <c r="K19" s="14" t="str" cm="1">
        <f t="array" ref="K19">_xlfn.IFS(RAW[[#This Row],[Perf_Score]]&gt;=95,"Outstanding",RAW[[#This Row],[Perf_Score]]&gt;=85,"Exceeding",RAW[[#This Row],[Perf_Score]]&gt;=70,"Achieving",RAW[[#This Row],[Perf_Score]]&gt;=50,"Developing",RAW[[#This Row],[Perf_Score]]&lt;=49,"Needs Improvement")</f>
        <v>Needs Improvement</v>
      </c>
      <c r="L19" s="14" t="s">
        <v>296</v>
      </c>
      <c r="M19" s="17">
        <f>IF(OR(RAW[[#This Row],[Employment Status]]="Left",RAW[[#This Row],[Employment Status]]="Resigned" ), 1, 0)</f>
        <v>0</v>
      </c>
      <c r="N19" s="17" t="str" cm="1">
        <f t="array" ref="N19">_xlfn.IFS(RAW[[#This Row],[Left/Resigned Band]]=0,"Active",RAW[[#This Row],[Left/Resigned Band]]=1,"Left")</f>
        <v>Active</v>
      </c>
      <c r="O19" s="22" t="str" cm="1">
        <f t="array" ref="O19">_xlfn.IFS(RAW[[#This Row],[Perf_Score]]&gt;=95,"0.12",RAW[[#This Row],[Perf_Score]]&gt;=85,"0.08",RAW[[#This Row],[Perf_Score]]&gt;=70,"0.05",RAW[[#This Row],[Perf_Score]]&gt;=50,"0.02",RAW[[#This Row],[Perf_Score]]&lt;=49,"0")</f>
        <v>0</v>
      </c>
      <c r="P19" s="8">
        <f>RAW[[#This Row],[Salary]]*RAW[[#This Row],[Eligible Bonus Amount]]</f>
        <v>0</v>
      </c>
    </row>
    <row r="20" spans="1:16" x14ac:dyDescent="0.25">
      <c r="A20" s="14" t="s">
        <v>44</v>
      </c>
      <c r="B20" s="14" t="s">
        <v>204</v>
      </c>
      <c r="C20" t="s">
        <v>11</v>
      </c>
      <c r="D20" s="14" t="str">
        <f t="shared" si="0"/>
        <v>MKT04</v>
      </c>
      <c r="E20" s="14" t="str">
        <f>VLOOKUP(RAW[[#This Row],[Dept Code]],Table4[#All],2,FALSE)</f>
        <v>Marketing</v>
      </c>
      <c r="F20" s="2">
        <v>43235</v>
      </c>
      <c r="G20" s="6">
        <f ca="1">DATEDIF(RAW[[#This Row],[Hire Date]], TODAY(), "Y")</f>
        <v>8</v>
      </c>
      <c r="H20" s="12">
        <v>73984</v>
      </c>
      <c r="I20" s="12" cm="1">
        <f t="array" ref="I20">IF(H20="",MEDIAN(IF(($E$2:$E$151=E20)*($H$2:$H$151&lt;&gt;""),$H$2:$H$151)),H20)</f>
        <v>73984</v>
      </c>
      <c r="J20" s="6">
        <v>93</v>
      </c>
      <c r="K20" s="14" t="str" cm="1">
        <f t="array" ref="K20">_xlfn.IFS(RAW[[#This Row],[Perf_Score]]&gt;=95,"Outstanding",RAW[[#This Row],[Perf_Score]]&gt;=85,"Exceeding",RAW[[#This Row],[Perf_Score]]&gt;=70,"Achieving",RAW[[#This Row],[Perf_Score]]&gt;=50,"Developing",RAW[[#This Row],[Perf_Score]]&lt;=49,"Needs Improvement")</f>
        <v>Exceeding</v>
      </c>
      <c r="L20" s="14" t="s">
        <v>29</v>
      </c>
      <c r="M20" s="17">
        <f>IF(OR(RAW[[#This Row],[Employment Status]]="Left",RAW[[#This Row],[Employment Status]]="Resigned" ), 1, 0)</f>
        <v>0</v>
      </c>
      <c r="N20" s="17" t="str" cm="1">
        <f t="array" ref="N20">_xlfn.IFS(RAW[[#This Row],[Left/Resigned Band]]=0,"Active",RAW[[#This Row],[Left/Resigned Band]]=1,"Left")</f>
        <v>Active</v>
      </c>
      <c r="O20" s="22" t="str" cm="1">
        <f t="array" ref="O20">_xlfn.IFS(RAW[[#This Row],[Perf_Score]]&gt;=95,"0.12",RAW[[#This Row],[Perf_Score]]&gt;=85,"0.08",RAW[[#This Row],[Perf_Score]]&gt;=70,"0.05",RAW[[#This Row],[Perf_Score]]&gt;=50,"0.02",RAW[[#This Row],[Perf_Score]]&lt;=49,"0")</f>
        <v>0.08</v>
      </c>
      <c r="P20" s="8">
        <f>RAW[[#This Row],[Salary]]*RAW[[#This Row],[Eligible Bonus Amount]]</f>
        <v>5918.72</v>
      </c>
    </row>
    <row r="21" spans="1:16" x14ac:dyDescent="0.25">
      <c r="A21" t="s">
        <v>45</v>
      </c>
      <c r="B21" t="s">
        <v>205</v>
      </c>
      <c r="C21" t="s">
        <v>8</v>
      </c>
      <c r="D21" t="str">
        <f t="shared" si="0"/>
        <v>IT02</v>
      </c>
      <c r="E21" t="str">
        <f>VLOOKUP(RAW[[#This Row],[Dept Code]],Table4[#All],2,FALSE)</f>
        <v>Information Technology</v>
      </c>
      <c r="F21" s="2">
        <v>42575</v>
      </c>
      <c r="G21" s="6">
        <f ca="1">DATEDIF(RAW[[#This Row],[Hire Date]], TODAY(), "Y")</f>
        <v>9</v>
      </c>
      <c r="H21" s="12" t="str">
        <f t="array" ref="H21">IF(H2="",MEDIAN(IF($E$2:$E$151=E2,$H$2:$H$151)),"")</f>
        <v/>
      </c>
      <c r="I21" s="12" cm="1">
        <f t="array" ref="I21">IF(H21="",MEDIAN(IF(($E$2:$E$151=E21)*($H$2:$H$151&lt;&gt;""),$H$2:$H$151)),H21)</f>
        <v>77819</v>
      </c>
      <c r="J21">
        <v>75</v>
      </c>
      <c r="K21" t="str" cm="1">
        <f t="array" ref="K21">_xlfn.IFS(RAW[[#This Row],[Perf_Score]]&gt;=95,"Outstanding",RAW[[#This Row],[Perf_Score]]&gt;=85,"Exceeding",RAW[[#This Row],[Perf_Score]]&gt;=70,"Achieving",RAW[[#This Row],[Perf_Score]]&gt;=50,"Developing",RAW[[#This Row],[Perf_Score]]&lt;=49,"Needs Improvement")</f>
        <v>Achieving</v>
      </c>
      <c r="L21" t="s">
        <v>29</v>
      </c>
      <c r="M21">
        <f>IF(OR(RAW[[#This Row],[Employment Status]]="Left",RAW[[#This Row],[Employment Status]]="Resigned" ), 1, 0)</f>
        <v>0</v>
      </c>
      <c r="N21" t="str" cm="1">
        <f t="array" ref="N21">_xlfn.IFS(RAW[[#This Row],[Left/Resigned Band]]=0,"Active",RAW[[#This Row],[Left/Resigned Band]]=1,"Left")</f>
        <v>Active</v>
      </c>
      <c r="O21" t="str" cm="1">
        <f t="array" ref="O21">_xlfn.IFS(RAW[[#This Row],[Perf_Score]]&gt;=95,"0.12",RAW[[#This Row],[Perf_Score]]&gt;=85,"0.08",RAW[[#This Row],[Perf_Score]]&gt;=70,"0.05",RAW[[#This Row],[Perf_Score]]&gt;=50,"0.02",RAW[[#This Row],[Perf_Score]]&lt;=49,"0")</f>
        <v>0.05</v>
      </c>
      <c r="P21" s="3">
        <f t="shared" si="1"/>
        <v>0</v>
      </c>
    </row>
    <row r="22" spans="1:16" x14ac:dyDescent="0.25">
      <c r="A22" s="14" t="s">
        <v>46</v>
      </c>
      <c r="B22" s="14" t="s">
        <v>206</v>
      </c>
      <c r="C22" t="s">
        <v>16</v>
      </c>
      <c r="D22" s="14" t="str">
        <f t="shared" si="0"/>
        <v>FIN03</v>
      </c>
      <c r="E22" s="14" t="str">
        <f>VLOOKUP(RAW[[#This Row],[Dept Code]],Table4[#All],2,FALSE)</f>
        <v>Finance</v>
      </c>
      <c r="F22" s="2">
        <v>43076</v>
      </c>
      <c r="G22" s="6">
        <f ca="1">DATEDIF(RAW[[#This Row],[Hire Date]], TODAY(), "Y")</f>
        <v>8</v>
      </c>
      <c r="H22" s="12">
        <v>118527</v>
      </c>
      <c r="I22" s="12" cm="1">
        <f t="array" ref="I22">IF(H22="",MEDIAN(IF(($E$2:$E$151=E22)*($H$2:$H$151&lt;&gt;""),$H$2:$H$151)),H22)</f>
        <v>118527</v>
      </c>
      <c r="J22" s="6">
        <v>50</v>
      </c>
      <c r="K22" s="14" t="str" cm="1">
        <f t="array" ref="K22">_xlfn.IFS(RAW[[#This Row],[Perf_Score]]&gt;=95,"Outstanding",RAW[[#This Row],[Perf_Score]]&gt;=85,"Exceeding",RAW[[#This Row],[Perf_Score]]&gt;=70,"Achieving",RAW[[#This Row],[Perf_Score]]&gt;=50,"Developing",RAW[[#This Row],[Perf_Score]]&lt;=49,"Needs Improvement")</f>
        <v>Developing</v>
      </c>
      <c r="L22" s="14" t="s">
        <v>29</v>
      </c>
      <c r="M22" s="17">
        <f>IF(OR(RAW[[#This Row],[Employment Status]]="Left",RAW[[#This Row],[Employment Status]]="Resigned" ), 1, 0)</f>
        <v>0</v>
      </c>
      <c r="N22" s="17" t="str" cm="1">
        <f t="array" ref="N22">_xlfn.IFS(RAW[[#This Row],[Left/Resigned Band]]=0,"Active",RAW[[#This Row],[Left/Resigned Band]]=1,"Left")</f>
        <v>Active</v>
      </c>
      <c r="O22" s="22" t="str" cm="1">
        <f t="array" ref="O22">_xlfn.IFS(RAW[[#This Row],[Perf_Score]]&gt;=95,"0.12",RAW[[#This Row],[Perf_Score]]&gt;=85,"0.08",RAW[[#This Row],[Perf_Score]]&gt;=70,"0.05",RAW[[#This Row],[Perf_Score]]&gt;=50,"0.02",RAW[[#This Row],[Perf_Score]]&lt;=49,"0")</f>
        <v>0.02</v>
      </c>
      <c r="P22" s="8">
        <f>RAW[[#This Row],[Salary]]*RAW[[#This Row],[Eligible Bonus Amount]]</f>
        <v>2370.54</v>
      </c>
    </row>
    <row r="23" spans="1:16" x14ac:dyDescent="0.25">
      <c r="A23" s="14" t="s">
        <v>47</v>
      </c>
      <c r="B23" s="14" t="s">
        <v>188</v>
      </c>
      <c r="C23" t="s">
        <v>11</v>
      </c>
      <c r="D23" s="14" t="str">
        <f t="shared" si="0"/>
        <v>MKT04</v>
      </c>
      <c r="E23" s="14" t="str">
        <f>VLOOKUP(RAW[[#This Row],[Dept Code]],Table4[#All],2,FALSE)</f>
        <v>Marketing</v>
      </c>
      <c r="F23" s="2">
        <v>44353</v>
      </c>
      <c r="G23" s="6">
        <f ca="1">DATEDIF(RAW[[#This Row],[Hire Date]], TODAY(), "Y")</f>
        <v>5</v>
      </c>
      <c r="H23" s="12">
        <v>107871</v>
      </c>
      <c r="I23" s="12" cm="1">
        <f t="array" ref="I23">IF(H23="",MEDIAN(IF(($E$2:$E$151=E23)*($H$2:$H$151&lt;&gt;""),$H$2:$H$151)),H23)</f>
        <v>107871</v>
      </c>
      <c r="J23" s="6">
        <v>88</v>
      </c>
      <c r="K23" s="14" t="str" cm="1">
        <f t="array" ref="K23">_xlfn.IFS(RAW[[#This Row],[Perf_Score]]&gt;=95,"Outstanding",RAW[[#This Row],[Perf_Score]]&gt;=85,"Exceeding",RAW[[#This Row],[Perf_Score]]&gt;=70,"Achieving",RAW[[#This Row],[Perf_Score]]&gt;=50,"Developing",RAW[[#This Row],[Perf_Score]]&lt;=49,"Needs Improvement")</f>
        <v>Exceeding</v>
      </c>
      <c r="L23" s="14" t="s">
        <v>29</v>
      </c>
      <c r="M23" s="17">
        <f>IF(OR(RAW[[#This Row],[Employment Status]]="Left",RAW[[#This Row],[Employment Status]]="Resigned" ), 1, 0)</f>
        <v>0</v>
      </c>
      <c r="N23" s="17" t="str" cm="1">
        <f t="array" ref="N23">_xlfn.IFS(RAW[[#This Row],[Left/Resigned Band]]=0,"Active",RAW[[#This Row],[Left/Resigned Band]]=1,"Left")</f>
        <v>Active</v>
      </c>
      <c r="O23" s="22" t="str" cm="1">
        <f t="array" ref="O23">_xlfn.IFS(RAW[[#This Row],[Perf_Score]]&gt;=95,"0.12",RAW[[#This Row],[Perf_Score]]&gt;=85,"0.08",RAW[[#This Row],[Perf_Score]]&gt;=70,"0.05",RAW[[#This Row],[Perf_Score]]&gt;=50,"0.02",RAW[[#This Row],[Perf_Score]]&lt;=49,"0")</f>
        <v>0.08</v>
      </c>
      <c r="P23" s="8">
        <f>RAW[[#This Row],[Salary]]*RAW[[#This Row],[Eligible Bonus Amount]]</f>
        <v>8629.68</v>
      </c>
    </row>
    <row r="24" spans="1:16" x14ac:dyDescent="0.25">
      <c r="A24" s="14" t="s">
        <v>48</v>
      </c>
      <c r="B24" s="14" t="s">
        <v>207</v>
      </c>
      <c r="C24" t="s">
        <v>14</v>
      </c>
      <c r="D24" s="14" t="str">
        <f t="shared" si="0"/>
        <v>IT02</v>
      </c>
      <c r="E24" s="14" t="str">
        <f>VLOOKUP(RAW[[#This Row],[Dept Code]],Table4[#All],2,FALSE)</f>
        <v>Information Technology</v>
      </c>
      <c r="F24" s="2">
        <v>44815</v>
      </c>
      <c r="G24" s="6">
        <f ca="1">DATEDIF(RAW[[#This Row],[Hire Date]], TODAY(), "Y")</f>
        <v>3</v>
      </c>
      <c r="H24" s="12">
        <v>93956</v>
      </c>
      <c r="I24" s="12" cm="1">
        <f t="array" ref="I24">IF(H24="",MEDIAN(IF(($E$2:$E$151=E24)*($H$2:$H$151&lt;&gt;""),$H$2:$H$151)),H24)</f>
        <v>93956</v>
      </c>
      <c r="J24" s="6">
        <v>50</v>
      </c>
      <c r="K24" s="14" t="str" cm="1">
        <f t="array" ref="K24">_xlfn.IFS(RAW[[#This Row],[Perf_Score]]&gt;=95,"Outstanding",RAW[[#This Row],[Perf_Score]]&gt;=85,"Exceeding",RAW[[#This Row],[Perf_Score]]&gt;=70,"Achieving",RAW[[#This Row],[Perf_Score]]&gt;=50,"Developing",RAW[[#This Row],[Perf_Score]]&lt;=49,"Needs Improvement")</f>
        <v>Developing</v>
      </c>
      <c r="L24" s="14" t="s">
        <v>19</v>
      </c>
      <c r="M24" s="17">
        <f>IF(OR(RAW[[#This Row],[Employment Status]]="Left",RAW[[#This Row],[Employment Status]]="Resigned" ), 1, 0)</f>
        <v>1</v>
      </c>
      <c r="N24" s="17" t="str" cm="1">
        <f t="array" ref="N24">_xlfn.IFS(RAW[[#This Row],[Left/Resigned Band]]=0,"Active",RAW[[#This Row],[Left/Resigned Band]]=1,"Left")</f>
        <v>Left</v>
      </c>
      <c r="O24" s="22" t="str" cm="1">
        <f t="array" ref="O24">_xlfn.IFS(RAW[[#This Row],[Perf_Score]]&gt;=95,"0.12",RAW[[#This Row],[Perf_Score]]&gt;=85,"0.08",RAW[[#This Row],[Perf_Score]]&gt;=70,"0.05",RAW[[#This Row],[Perf_Score]]&gt;=50,"0.02",RAW[[#This Row],[Perf_Score]]&lt;=49,"0")</f>
        <v>0.02</v>
      </c>
      <c r="P24" s="8">
        <f>RAW[[#This Row],[Salary]]*RAW[[#This Row],[Eligible Bonus Amount]]</f>
        <v>1879.1200000000001</v>
      </c>
    </row>
    <row r="25" spans="1:16" x14ac:dyDescent="0.25">
      <c r="A25" s="14" t="s">
        <v>49</v>
      </c>
      <c r="B25" s="14" t="s">
        <v>208</v>
      </c>
      <c r="C25" t="s">
        <v>50</v>
      </c>
      <c r="D25" s="14" t="str">
        <f t="shared" si="0"/>
        <v>FIN03</v>
      </c>
      <c r="E25" s="14" t="str">
        <f>VLOOKUP(RAW[[#This Row],[Dept Code]],Table4[#All],2,FALSE)</f>
        <v>Finance</v>
      </c>
      <c r="F25" s="2">
        <v>42565</v>
      </c>
      <c r="G25" s="6">
        <f ca="1">DATEDIF(RAW[[#This Row],[Hire Date]], TODAY(), "Y")</f>
        <v>9</v>
      </c>
      <c r="H25" s="12">
        <v>100851</v>
      </c>
      <c r="I25" s="12" cm="1">
        <f t="array" ref="I25">IF(H25="",MEDIAN(IF(($E$2:$E$151=E25)*($H$2:$H$151&lt;&gt;""),$H$2:$H$151)),H25)</f>
        <v>100851</v>
      </c>
      <c r="J25" s="6">
        <v>64</v>
      </c>
      <c r="K25" s="14" t="str" cm="1">
        <f t="array" ref="K25">_xlfn.IFS(RAW[[#This Row],[Perf_Score]]&gt;=95,"Outstanding",RAW[[#This Row],[Perf_Score]]&gt;=85,"Exceeding",RAW[[#This Row],[Perf_Score]]&gt;=70,"Achieving",RAW[[#This Row],[Perf_Score]]&gt;=50,"Developing",RAW[[#This Row],[Perf_Score]]&lt;=49,"Needs Improvement")</f>
        <v>Developing</v>
      </c>
      <c r="L25" s="14" t="s">
        <v>296</v>
      </c>
      <c r="M25" s="17">
        <f>IF(OR(RAW[[#This Row],[Employment Status]]="Left",RAW[[#This Row],[Employment Status]]="Resigned" ), 1, 0)</f>
        <v>0</v>
      </c>
      <c r="N25" s="17" t="str" cm="1">
        <f t="array" ref="N25">_xlfn.IFS(RAW[[#This Row],[Left/Resigned Band]]=0,"Active",RAW[[#This Row],[Left/Resigned Band]]=1,"Left")</f>
        <v>Active</v>
      </c>
      <c r="O25" s="22" t="str" cm="1">
        <f t="array" ref="O25">_xlfn.IFS(RAW[[#This Row],[Perf_Score]]&gt;=95,"0.12",RAW[[#This Row],[Perf_Score]]&gt;=85,"0.08",RAW[[#This Row],[Perf_Score]]&gt;=70,"0.05",RAW[[#This Row],[Perf_Score]]&gt;=50,"0.02",RAW[[#This Row],[Perf_Score]]&lt;=49,"0")</f>
        <v>0.02</v>
      </c>
      <c r="P25" s="8">
        <f>RAW[[#This Row],[Salary]]*RAW[[#This Row],[Eligible Bonus Amount]]</f>
        <v>2017.02</v>
      </c>
    </row>
    <row r="26" spans="1:16" x14ac:dyDescent="0.25">
      <c r="A26" s="14" t="s">
        <v>51</v>
      </c>
      <c r="B26" s="14" t="s">
        <v>209</v>
      </c>
      <c r="C26" t="s">
        <v>28</v>
      </c>
      <c r="D26" s="14" t="str">
        <f t="shared" si="0"/>
        <v>SAL05</v>
      </c>
      <c r="E26" s="14" t="str">
        <f>VLOOKUP(RAW[[#This Row],[Dept Code]],Table4[#All],2,FALSE)</f>
        <v>Sales</v>
      </c>
      <c r="F26" s="2">
        <v>44728</v>
      </c>
      <c r="G26" s="6">
        <f ca="1">DATEDIF(RAW[[#This Row],[Hire Date]], TODAY(), "Y")</f>
        <v>4</v>
      </c>
      <c r="H26" s="12">
        <v>68655</v>
      </c>
      <c r="I26" s="12" cm="1">
        <f t="array" ref="I26">IF(H26="",MEDIAN(IF(($E$2:$E$151=E26)*($H$2:$H$151&lt;&gt;""),$H$2:$H$151)),H26)</f>
        <v>68655</v>
      </c>
      <c r="J26" s="6">
        <v>32</v>
      </c>
      <c r="K26" s="14" t="str" cm="1">
        <f t="array" ref="K26">_xlfn.IFS(RAW[[#This Row],[Perf_Score]]&gt;=95,"Outstanding",RAW[[#This Row],[Perf_Score]]&gt;=85,"Exceeding",RAW[[#This Row],[Perf_Score]]&gt;=70,"Achieving",RAW[[#This Row],[Perf_Score]]&gt;=50,"Developing",RAW[[#This Row],[Perf_Score]]&lt;=49,"Needs Improvement")</f>
        <v>Needs Improvement</v>
      </c>
      <c r="L26" s="14" t="s">
        <v>29</v>
      </c>
      <c r="M26" s="17">
        <f>IF(OR(RAW[[#This Row],[Employment Status]]="Left",RAW[[#This Row],[Employment Status]]="Resigned" ), 1, 0)</f>
        <v>0</v>
      </c>
      <c r="N26" s="17" t="str" cm="1">
        <f t="array" ref="N26">_xlfn.IFS(RAW[[#This Row],[Left/Resigned Band]]=0,"Active",RAW[[#This Row],[Left/Resigned Band]]=1,"Left")</f>
        <v>Active</v>
      </c>
      <c r="O26" s="22" t="str" cm="1">
        <f t="array" ref="O26">_xlfn.IFS(RAW[[#This Row],[Perf_Score]]&gt;=95,"0.12",RAW[[#This Row],[Perf_Score]]&gt;=85,"0.08",RAW[[#This Row],[Perf_Score]]&gt;=70,"0.05",RAW[[#This Row],[Perf_Score]]&gt;=50,"0.02",RAW[[#This Row],[Perf_Score]]&lt;=49,"0")</f>
        <v>0</v>
      </c>
      <c r="P26" s="8">
        <f>RAW[[#This Row],[Salary]]*RAW[[#This Row],[Eligible Bonus Amount]]</f>
        <v>0</v>
      </c>
    </row>
    <row r="27" spans="1:16" x14ac:dyDescent="0.25">
      <c r="A27" s="14" t="s">
        <v>52</v>
      </c>
      <c r="B27" s="14" t="s">
        <v>35</v>
      </c>
      <c r="C27" t="s">
        <v>53</v>
      </c>
      <c r="D27" s="14" t="str">
        <f t="shared" si="0"/>
        <v>SAL05</v>
      </c>
      <c r="E27" s="14" t="str">
        <f>VLOOKUP(RAW[[#This Row],[Dept Code]],Table4[#All],2,FALSE)</f>
        <v>Sales</v>
      </c>
      <c r="F27" s="2">
        <v>45134</v>
      </c>
      <c r="G27" s="6">
        <f ca="1">DATEDIF(RAW[[#This Row],[Hire Date]], TODAY(), "Y")</f>
        <v>2</v>
      </c>
      <c r="H27" s="12">
        <v>81205</v>
      </c>
      <c r="I27" s="12" cm="1">
        <f t="array" ref="I27">IF(H27="",MEDIAN(IF(($E$2:$E$151=E27)*($H$2:$H$151&lt;&gt;""),$H$2:$H$151)),H27)</f>
        <v>81205</v>
      </c>
      <c r="J27" s="6">
        <v>59</v>
      </c>
      <c r="K27" s="14" t="str" cm="1">
        <f t="array" ref="K27">_xlfn.IFS(RAW[[#This Row],[Perf_Score]]&gt;=95,"Outstanding",RAW[[#This Row],[Perf_Score]]&gt;=85,"Exceeding",RAW[[#This Row],[Perf_Score]]&gt;=70,"Achieving",RAW[[#This Row],[Perf_Score]]&gt;=50,"Developing",RAW[[#This Row],[Perf_Score]]&lt;=49,"Needs Improvement")</f>
        <v>Developing</v>
      </c>
      <c r="L27" s="14" t="s">
        <v>29</v>
      </c>
      <c r="M27" s="17">
        <f>IF(OR(RAW[[#This Row],[Employment Status]]="Left",RAW[[#This Row],[Employment Status]]="Resigned" ), 1, 0)</f>
        <v>0</v>
      </c>
      <c r="N27" s="17" t="str" cm="1">
        <f t="array" ref="N27">_xlfn.IFS(RAW[[#This Row],[Left/Resigned Band]]=0,"Active",RAW[[#This Row],[Left/Resigned Band]]=1,"Left")</f>
        <v>Active</v>
      </c>
      <c r="O27" s="22" t="str" cm="1">
        <f t="array" ref="O27">_xlfn.IFS(RAW[[#This Row],[Perf_Score]]&gt;=95,"0.12",RAW[[#This Row],[Perf_Score]]&gt;=85,"0.08",RAW[[#This Row],[Perf_Score]]&gt;=70,"0.05",RAW[[#This Row],[Perf_Score]]&gt;=50,"0.02",RAW[[#This Row],[Perf_Score]]&lt;=49,"0")</f>
        <v>0.02</v>
      </c>
      <c r="P27" s="8">
        <f>RAW[[#This Row],[Salary]]*RAW[[#This Row],[Eligible Bonus Amount]]</f>
        <v>1624.1000000000001</v>
      </c>
    </row>
    <row r="28" spans="1:16" x14ac:dyDescent="0.25">
      <c r="A28" s="14" t="s">
        <v>54</v>
      </c>
      <c r="B28" s="14" t="s">
        <v>193</v>
      </c>
      <c r="C28" t="s">
        <v>28</v>
      </c>
      <c r="D28" s="14" t="str">
        <f t="shared" si="0"/>
        <v>SAL05</v>
      </c>
      <c r="E28" s="14" t="str">
        <f>VLOOKUP(RAW[[#This Row],[Dept Code]],Table4[#All],2,FALSE)</f>
        <v>Sales</v>
      </c>
      <c r="F28" s="2">
        <v>43732</v>
      </c>
      <c r="G28" s="6">
        <f ca="1">DATEDIF(RAW[[#This Row],[Hire Date]], TODAY(), "Y")</f>
        <v>6</v>
      </c>
      <c r="H28" s="12">
        <v>77610</v>
      </c>
      <c r="I28" s="12" cm="1">
        <f t="array" ref="I28">IF(H28="",MEDIAN(IF(($E$2:$E$151=E28)*($H$2:$H$151&lt;&gt;""),$H$2:$H$151)),H28)</f>
        <v>77610</v>
      </c>
      <c r="J28" s="6">
        <v>88</v>
      </c>
      <c r="K28" s="14" t="str" cm="1">
        <f t="array" ref="K28">_xlfn.IFS(RAW[[#This Row],[Perf_Score]]&gt;=95,"Outstanding",RAW[[#This Row],[Perf_Score]]&gt;=85,"Exceeding",RAW[[#This Row],[Perf_Score]]&gt;=70,"Achieving",RAW[[#This Row],[Perf_Score]]&gt;=50,"Developing",RAW[[#This Row],[Perf_Score]]&lt;=49,"Needs Improvement")</f>
        <v>Exceeding</v>
      </c>
      <c r="L28" s="14" t="s">
        <v>29</v>
      </c>
      <c r="M28" s="17">
        <f>IF(OR(RAW[[#This Row],[Employment Status]]="Left",RAW[[#This Row],[Employment Status]]="Resigned" ), 1, 0)</f>
        <v>0</v>
      </c>
      <c r="N28" s="17" t="str" cm="1">
        <f t="array" ref="N28">_xlfn.IFS(RAW[[#This Row],[Left/Resigned Band]]=0,"Active",RAW[[#This Row],[Left/Resigned Band]]=1,"Left")</f>
        <v>Active</v>
      </c>
      <c r="O28" s="22" t="str" cm="1">
        <f t="array" ref="O28">_xlfn.IFS(RAW[[#This Row],[Perf_Score]]&gt;=95,"0.12",RAW[[#This Row],[Perf_Score]]&gt;=85,"0.08",RAW[[#This Row],[Perf_Score]]&gt;=70,"0.05",RAW[[#This Row],[Perf_Score]]&gt;=50,"0.02",RAW[[#This Row],[Perf_Score]]&lt;=49,"0")</f>
        <v>0.08</v>
      </c>
      <c r="P28" s="8">
        <f>RAW[[#This Row],[Salary]]*RAW[[#This Row],[Eligible Bonus Amount]]</f>
        <v>6208.8</v>
      </c>
    </row>
    <row r="29" spans="1:16" x14ac:dyDescent="0.25">
      <c r="A29" s="14" t="s">
        <v>55</v>
      </c>
      <c r="B29" s="14" t="s">
        <v>201</v>
      </c>
      <c r="C29" t="s">
        <v>56</v>
      </c>
      <c r="D29" s="14" t="str">
        <f t="shared" si="0"/>
        <v>IT02</v>
      </c>
      <c r="E29" s="14" t="str">
        <f>VLOOKUP(RAW[[#This Row],[Dept Code]],Table4[#All],2,FALSE)</f>
        <v>Information Technology</v>
      </c>
      <c r="F29" s="2">
        <v>44765</v>
      </c>
      <c r="G29" s="6">
        <f ca="1">DATEDIF(RAW[[#This Row],[Hire Date]], TODAY(), "Y")</f>
        <v>3</v>
      </c>
      <c r="H29" s="12">
        <v>50873</v>
      </c>
      <c r="I29" s="12" cm="1">
        <f t="array" ref="I29">IF(H29="",MEDIAN(IF(($E$2:$E$151=E29)*($H$2:$H$151&lt;&gt;""),$H$2:$H$151)),H29)</f>
        <v>50873</v>
      </c>
      <c r="J29" s="6">
        <v>90</v>
      </c>
      <c r="K29" s="14" t="str" cm="1">
        <f t="array" ref="K29">_xlfn.IFS(RAW[[#This Row],[Perf_Score]]&gt;=95,"Outstanding",RAW[[#This Row],[Perf_Score]]&gt;=85,"Exceeding",RAW[[#This Row],[Perf_Score]]&gt;=70,"Achieving",RAW[[#This Row],[Perf_Score]]&gt;=50,"Developing",RAW[[#This Row],[Perf_Score]]&lt;=49,"Needs Improvement")</f>
        <v>Exceeding</v>
      </c>
      <c r="L29" s="14" t="s">
        <v>29</v>
      </c>
      <c r="M29" s="17">
        <f>IF(OR(RAW[[#This Row],[Employment Status]]="Left",RAW[[#This Row],[Employment Status]]="Resigned" ), 1, 0)</f>
        <v>0</v>
      </c>
      <c r="N29" s="17" t="str" cm="1">
        <f t="array" ref="N29">_xlfn.IFS(RAW[[#This Row],[Left/Resigned Band]]=0,"Active",RAW[[#This Row],[Left/Resigned Band]]=1,"Left")</f>
        <v>Active</v>
      </c>
      <c r="O29" s="22" t="str" cm="1">
        <f t="array" ref="O29">_xlfn.IFS(RAW[[#This Row],[Perf_Score]]&gt;=95,"0.12",RAW[[#This Row],[Perf_Score]]&gt;=85,"0.08",RAW[[#This Row],[Perf_Score]]&gt;=70,"0.05",RAW[[#This Row],[Perf_Score]]&gt;=50,"0.02",RAW[[#This Row],[Perf_Score]]&lt;=49,"0")</f>
        <v>0.08</v>
      </c>
      <c r="P29" s="8">
        <f>RAW[[#This Row],[Salary]]*RAW[[#This Row],[Eligible Bonus Amount]]</f>
        <v>4069.84</v>
      </c>
    </row>
    <row r="30" spans="1:16" x14ac:dyDescent="0.25">
      <c r="A30" s="14" t="s">
        <v>57</v>
      </c>
      <c r="B30" s="14" t="s">
        <v>210</v>
      </c>
      <c r="C30" t="s">
        <v>58</v>
      </c>
      <c r="D30" s="14" t="str">
        <f t="shared" si="0"/>
        <v>FIN03</v>
      </c>
      <c r="E30" s="14" t="str">
        <f>VLOOKUP(RAW[[#This Row],[Dept Code]],Table4[#All],2,FALSE)</f>
        <v>Finance</v>
      </c>
      <c r="F30" s="2">
        <v>43233</v>
      </c>
      <c r="G30" s="6">
        <f ca="1">DATEDIF(RAW[[#This Row],[Hire Date]], TODAY(), "Y")</f>
        <v>8</v>
      </c>
      <c r="H30" s="12">
        <v>85312</v>
      </c>
      <c r="I30" s="12" cm="1">
        <f t="array" ref="I30">IF(H30="",MEDIAN(IF(($E$2:$E$151=E30)*($H$2:$H$151&lt;&gt;""),$H$2:$H$151)),H30)</f>
        <v>85312</v>
      </c>
      <c r="J30" s="6">
        <v>66</v>
      </c>
      <c r="K30" s="14" t="str" cm="1">
        <f t="array" ref="K30">_xlfn.IFS(RAW[[#This Row],[Perf_Score]]&gt;=95,"Outstanding",RAW[[#This Row],[Perf_Score]]&gt;=85,"Exceeding",RAW[[#This Row],[Perf_Score]]&gt;=70,"Achieving",RAW[[#This Row],[Perf_Score]]&gt;=50,"Developing",RAW[[#This Row],[Perf_Score]]&lt;=49,"Needs Improvement")</f>
        <v>Developing</v>
      </c>
      <c r="L30" s="14" t="s">
        <v>29</v>
      </c>
      <c r="M30" s="17">
        <f>IF(OR(RAW[[#This Row],[Employment Status]]="Left",RAW[[#This Row],[Employment Status]]="Resigned" ), 1, 0)</f>
        <v>0</v>
      </c>
      <c r="N30" s="17" t="str" cm="1">
        <f t="array" ref="N30">_xlfn.IFS(RAW[[#This Row],[Left/Resigned Band]]=0,"Active",RAW[[#This Row],[Left/Resigned Band]]=1,"Left")</f>
        <v>Active</v>
      </c>
      <c r="O30" s="22" t="str" cm="1">
        <f t="array" ref="O30">_xlfn.IFS(RAW[[#This Row],[Perf_Score]]&gt;=95,"0.12",RAW[[#This Row],[Perf_Score]]&gt;=85,"0.08",RAW[[#This Row],[Perf_Score]]&gt;=70,"0.05",RAW[[#This Row],[Perf_Score]]&gt;=50,"0.02",RAW[[#This Row],[Perf_Score]]&lt;=49,"0")</f>
        <v>0.02</v>
      </c>
      <c r="P30" s="8">
        <f>RAW[[#This Row],[Salary]]*RAW[[#This Row],[Eligible Bonus Amount]]</f>
        <v>1706.24</v>
      </c>
    </row>
    <row r="31" spans="1:16" x14ac:dyDescent="0.25">
      <c r="A31" t="s">
        <v>59</v>
      </c>
      <c r="B31" t="s">
        <v>211</v>
      </c>
      <c r="C31" t="s">
        <v>28</v>
      </c>
      <c r="D31" t="str">
        <f t="shared" si="0"/>
        <v>SAL05</v>
      </c>
      <c r="E31" t="str">
        <f>VLOOKUP(RAW[[#This Row],[Dept Code]],Table4[#All],2,FALSE)</f>
        <v>Sales</v>
      </c>
      <c r="F31" s="2">
        <v>42202</v>
      </c>
      <c r="G31" s="6">
        <f ca="1">DATEDIF(RAW[[#This Row],[Hire Date]], TODAY(), "Y")</f>
        <v>10</v>
      </c>
      <c r="I31" s="12" cm="1">
        <f t="array" ref="I31">IF(H31="",MEDIAN(IF(($E$2:$E$151=E31)*($H$2:$H$151&lt;&gt;""),$H$2:$H$151)),H31)</f>
        <v>81205</v>
      </c>
      <c r="J31">
        <v>68</v>
      </c>
      <c r="K31" t="str" cm="1">
        <f t="array" ref="K31">_xlfn.IFS(RAW[[#This Row],[Perf_Score]]&gt;=95,"Outstanding",RAW[[#This Row],[Perf_Score]]&gt;=85,"Exceeding",RAW[[#This Row],[Perf_Score]]&gt;=70,"Achieving",RAW[[#This Row],[Perf_Score]]&gt;=50,"Developing",RAW[[#This Row],[Perf_Score]]&lt;=49,"Needs Improvement")</f>
        <v>Developing</v>
      </c>
      <c r="L31" t="s">
        <v>29</v>
      </c>
      <c r="M31">
        <f>IF(OR(RAW[[#This Row],[Employment Status]]="Left",RAW[[#This Row],[Employment Status]]="Resigned" ), 1, 0)</f>
        <v>0</v>
      </c>
      <c r="N31" t="str" cm="1">
        <f t="array" ref="N31">_xlfn.IFS(RAW[[#This Row],[Left/Resigned Band]]=0,"Active",RAW[[#This Row],[Left/Resigned Band]]=1,"Left")</f>
        <v>Active</v>
      </c>
      <c r="O31" t="str" cm="1">
        <f t="array" ref="O31">_xlfn.IFS(RAW[[#This Row],[Perf_Score]]&gt;=95,"0.12",RAW[[#This Row],[Perf_Score]]&gt;=85,"0.08",RAW[[#This Row],[Perf_Score]]&gt;=70,"0.05",RAW[[#This Row],[Perf_Score]]&gt;=50,"0.02",RAW[[#This Row],[Perf_Score]]&lt;=49,"0")</f>
        <v>0.02</v>
      </c>
      <c r="P31" s="3">
        <f t="shared" si="1"/>
        <v>0</v>
      </c>
    </row>
    <row r="32" spans="1:16" x14ac:dyDescent="0.25">
      <c r="A32" s="14" t="s">
        <v>60</v>
      </c>
      <c r="B32" s="14" t="s">
        <v>212</v>
      </c>
      <c r="C32" t="s">
        <v>21</v>
      </c>
      <c r="D32" s="14" t="str">
        <f t="shared" si="0"/>
        <v>OPS06</v>
      </c>
      <c r="E32" s="14" t="str">
        <f>VLOOKUP(RAW[[#This Row],[Dept Code]],Table4[#All],2,FALSE)</f>
        <v>Operations</v>
      </c>
      <c r="F32" s="2">
        <v>42221</v>
      </c>
      <c r="G32" s="6">
        <f ca="1">DATEDIF(RAW[[#This Row],[Hire Date]], TODAY(), "Y")</f>
        <v>10</v>
      </c>
      <c r="H32" s="12">
        <v>97055</v>
      </c>
      <c r="I32" s="12" cm="1">
        <f t="array" ref="I32">IF(H32="",MEDIAN(IF(($E$2:$E$151=E32)*($H$2:$H$151&lt;&gt;""),$H$2:$H$151)),H32)</f>
        <v>97055</v>
      </c>
      <c r="J32" s="6">
        <v>80</v>
      </c>
      <c r="K32" s="14" t="str" cm="1">
        <f t="array" ref="K32">_xlfn.IFS(RAW[[#This Row],[Perf_Score]]&gt;=95,"Outstanding",RAW[[#This Row],[Perf_Score]]&gt;=85,"Exceeding",RAW[[#This Row],[Perf_Score]]&gt;=70,"Achieving",RAW[[#This Row],[Perf_Score]]&gt;=50,"Developing",RAW[[#This Row],[Perf_Score]]&lt;=49,"Needs Improvement")</f>
        <v>Achieving</v>
      </c>
      <c r="L32" s="14" t="s">
        <v>29</v>
      </c>
      <c r="M32" s="17">
        <f>IF(OR(RAW[[#This Row],[Employment Status]]="Left",RAW[[#This Row],[Employment Status]]="Resigned" ), 1, 0)</f>
        <v>0</v>
      </c>
      <c r="N32" s="17" t="str" cm="1">
        <f t="array" ref="N32">_xlfn.IFS(RAW[[#This Row],[Left/Resigned Band]]=0,"Active",RAW[[#This Row],[Left/Resigned Band]]=1,"Left")</f>
        <v>Active</v>
      </c>
      <c r="O32" s="22" t="str" cm="1">
        <f t="array" ref="O32">_xlfn.IFS(RAW[[#This Row],[Perf_Score]]&gt;=95,"0.12",RAW[[#This Row],[Perf_Score]]&gt;=85,"0.08",RAW[[#This Row],[Perf_Score]]&gt;=70,"0.05",RAW[[#This Row],[Perf_Score]]&gt;=50,"0.02",RAW[[#This Row],[Perf_Score]]&lt;=49,"0")</f>
        <v>0.05</v>
      </c>
      <c r="P32" s="8">
        <f>RAW[[#This Row],[Salary]]*RAW[[#This Row],[Eligible Bonus Amount]]</f>
        <v>4852.75</v>
      </c>
    </row>
    <row r="33" spans="1:16" x14ac:dyDescent="0.25">
      <c r="A33" s="14" t="s">
        <v>61</v>
      </c>
      <c r="B33" s="14" t="s">
        <v>213</v>
      </c>
      <c r="C33" t="s">
        <v>8</v>
      </c>
      <c r="D33" s="14" t="str">
        <f t="shared" si="0"/>
        <v>IT02</v>
      </c>
      <c r="E33" s="14" t="str">
        <f>VLOOKUP(RAW[[#This Row],[Dept Code]],Table4[#All],2,FALSE)</f>
        <v>Information Technology</v>
      </c>
      <c r="F33" s="2">
        <v>45195</v>
      </c>
      <c r="G33" s="6">
        <f ca="1">DATEDIF(RAW[[#This Row],[Hire Date]], TODAY(), "Y")</f>
        <v>2</v>
      </c>
      <c r="H33" s="12">
        <v>66069</v>
      </c>
      <c r="I33" s="12" cm="1">
        <f t="array" ref="I33">IF(H33="",MEDIAN(IF(($E$2:$E$151=E33)*($H$2:$H$151&lt;&gt;""),$H$2:$H$151)),H33)</f>
        <v>66069</v>
      </c>
      <c r="J33" s="6">
        <v>72</v>
      </c>
      <c r="K33" s="14" t="str" cm="1">
        <f t="array" ref="K33">_xlfn.IFS(RAW[[#This Row],[Perf_Score]]&gt;=95,"Outstanding",RAW[[#This Row],[Perf_Score]]&gt;=85,"Exceeding",RAW[[#This Row],[Perf_Score]]&gt;=70,"Achieving",RAW[[#This Row],[Perf_Score]]&gt;=50,"Developing",RAW[[#This Row],[Perf_Score]]&lt;=49,"Needs Improvement")</f>
        <v>Achieving</v>
      </c>
      <c r="L33" s="14" t="s">
        <v>29</v>
      </c>
      <c r="M33" s="17">
        <f>IF(OR(RAW[[#This Row],[Employment Status]]="Left",RAW[[#This Row],[Employment Status]]="Resigned" ), 1, 0)</f>
        <v>0</v>
      </c>
      <c r="N33" s="17" t="str" cm="1">
        <f t="array" ref="N33">_xlfn.IFS(RAW[[#This Row],[Left/Resigned Band]]=0,"Active",RAW[[#This Row],[Left/Resigned Band]]=1,"Left")</f>
        <v>Active</v>
      </c>
      <c r="O33" s="22" t="str" cm="1">
        <f t="array" ref="O33">_xlfn.IFS(RAW[[#This Row],[Perf_Score]]&gt;=95,"0.12",RAW[[#This Row],[Perf_Score]]&gt;=85,"0.08",RAW[[#This Row],[Perf_Score]]&gt;=70,"0.05",RAW[[#This Row],[Perf_Score]]&gt;=50,"0.02",RAW[[#This Row],[Perf_Score]]&lt;=49,"0")</f>
        <v>0.05</v>
      </c>
      <c r="P33" s="8">
        <f>RAW[[#This Row],[Salary]]*RAW[[#This Row],[Eligible Bonus Amount]]</f>
        <v>3303.4500000000003</v>
      </c>
    </row>
    <row r="34" spans="1:16" x14ac:dyDescent="0.25">
      <c r="A34" s="14" t="s">
        <v>62</v>
      </c>
      <c r="B34" s="14" t="s">
        <v>214</v>
      </c>
      <c r="C34" t="s">
        <v>56</v>
      </c>
      <c r="D34" s="14" t="str">
        <f t="shared" ref="D34:D65" si="2">UPPER(TRIM(C34))</f>
        <v>IT02</v>
      </c>
      <c r="E34" s="14" t="str">
        <f>VLOOKUP(RAW[[#This Row],[Dept Code]],Table4[#All],2,FALSE)</f>
        <v>Information Technology</v>
      </c>
      <c r="F34" s="2">
        <v>43626</v>
      </c>
      <c r="G34" s="6">
        <f ca="1">DATEDIF(RAW[[#This Row],[Hire Date]], TODAY(), "Y")</f>
        <v>7</v>
      </c>
      <c r="H34" s="12">
        <v>90157</v>
      </c>
      <c r="I34" s="12" cm="1">
        <f t="array" ref="I34">IF(H34="",MEDIAN(IF(($E$2:$E$151=E34)*($H$2:$H$151&lt;&gt;""),$H$2:$H$151)),H34)</f>
        <v>90157</v>
      </c>
      <c r="J34" s="6">
        <v>58</v>
      </c>
      <c r="K34" s="14" t="str" cm="1">
        <f t="array" ref="K34">_xlfn.IFS(RAW[[#This Row],[Perf_Score]]&gt;=95,"Outstanding",RAW[[#This Row],[Perf_Score]]&gt;=85,"Exceeding",RAW[[#This Row],[Perf_Score]]&gt;=70,"Achieving",RAW[[#This Row],[Perf_Score]]&gt;=50,"Developing",RAW[[#This Row],[Perf_Score]]&lt;=49,"Needs Improvement")</f>
        <v>Developing</v>
      </c>
      <c r="L34" s="14" t="s">
        <v>29</v>
      </c>
      <c r="M34" s="17">
        <f>IF(OR(RAW[[#This Row],[Employment Status]]="Left",RAW[[#This Row],[Employment Status]]="Resigned" ), 1, 0)</f>
        <v>0</v>
      </c>
      <c r="N34" s="17" t="str" cm="1">
        <f t="array" ref="N34">_xlfn.IFS(RAW[[#This Row],[Left/Resigned Band]]=0,"Active",RAW[[#This Row],[Left/Resigned Band]]=1,"Left")</f>
        <v>Active</v>
      </c>
      <c r="O34" s="22" t="str" cm="1">
        <f t="array" ref="O34">_xlfn.IFS(RAW[[#This Row],[Perf_Score]]&gt;=95,"0.12",RAW[[#This Row],[Perf_Score]]&gt;=85,"0.08",RAW[[#This Row],[Perf_Score]]&gt;=70,"0.05",RAW[[#This Row],[Perf_Score]]&gt;=50,"0.02",RAW[[#This Row],[Perf_Score]]&lt;=49,"0")</f>
        <v>0.02</v>
      </c>
      <c r="P34" s="8">
        <f>RAW[[#This Row],[Salary]]*RAW[[#This Row],[Eligible Bonus Amount]]</f>
        <v>1803.14</v>
      </c>
    </row>
    <row r="35" spans="1:16" x14ac:dyDescent="0.25">
      <c r="A35" s="14" t="s">
        <v>63</v>
      </c>
      <c r="B35" s="14" t="s">
        <v>215</v>
      </c>
      <c r="C35" t="s">
        <v>64</v>
      </c>
      <c r="D35" s="14" t="str">
        <f t="shared" si="2"/>
        <v>HR01</v>
      </c>
      <c r="E35" s="14" t="str">
        <f>VLOOKUP(RAW[[#This Row],[Dept Code]],Table4[#All],2,FALSE)</f>
        <v>Human Resources</v>
      </c>
      <c r="F35" s="2">
        <v>44578</v>
      </c>
      <c r="G35" s="6">
        <f ca="1">DATEDIF(RAW[[#This Row],[Hire Date]], TODAY(), "Y")</f>
        <v>4</v>
      </c>
      <c r="H35" s="12">
        <v>59899</v>
      </c>
      <c r="I35" s="12" cm="1">
        <f t="array" ref="I35">IF(H35="",MEDIAN(IF(($E$2:$E$151=E35)*($H$2:$H$151&lt;&gt;""),$H$2:$H$151)),H35)</f>
        <v>59899</v>
      </c>
      <c r="J35" s="6">
        <v>78</v>
      </c>
      <c r="K35" s="14" t="str" cm="1">
        <f t="array" ref="K35">_xlfn.IFS(RAW[[#This Row],[Perf_Score]]&gt;=95,"Outstanding",RAW[[#This Row],[Perf_Score]]&gt;=85,"Exceeding",RAW[[#This Row],[Perf_Score]]&gt;=70,"Achieving",RAW[[#This Row],[Perf_Score]]&gt;=50,"Developing",RAW[[#This Row],[Perf_Score]]&lt;=49,"Needs Improvement")</f>
        <v>Achieving</v>
      </c>
      <c r="L35" s="14" t="s">
        <v>29</v>
      </c>
      <c r="M35" s="17">
        <f>IF(OR(RAW[[#This Row],[Employment Status]]="Left",RAW[[#This Row],[Employment Status]]="Resigned" ), 1, 0)</f>
        <v>0</v>
      </c>
      <c r="N35" s="17" t="str" cm="1">
        <f t="array" ref="N35">_xlfn.IFS(RAW[[#This Row],[Left/Resigned Band]]=0,"Active",RAW[[#This Row],[Left/Resigned Band]]=1,"Left")</f>
        <v>Active</v>
      </c>
      <c r="O35" s="22" t="str" cm="1">
        <f t="array" ref="O35">_xlfn.IFS(RAW[[#This Row],[Perf_Score]]&gt;=95,"0.12",RAW[[#This Row],[Perf_Score]]&gt;=85,"0.08",RAW[[#This Row],[Perf_Score]]&gt;=70,"0.05",RAW[[#This Row],[Perf_Score]]&gt;=50,"0.02",RAW[[#This Row],[Perf_Score]]&lt;=49,"0")</f>
        <v>0.05</v>
      </c>
      <c r="P35" s="8">
        <f>RAW[[#This Row],[Salary]]*RAW[[#This Row],[Eligible Bonus Amount]]</f>
        <v>2994.9500000000003</v>
      </c>
    </row>
    <row r="36" spans="1:16" x14ac:dyDescent="0.25">
      <c r="A36" s="14" t="s">
        <v>65</v>
      </c>
      <c r="B36" s="14" t="s">
        <v>216</v>
      </c>
      <c r="C36" t="s">
        <v>50</v>
      </c>
      <c r="D36" s="14" t="str">
        <f t="shared" si="2"/>
        <v>FIN03</v>
      </c>
      <c r="E36" s="14" t="str">
        <f>VLOOKUP(RAW[[#This Row],[Dept Code]],Table4[#All],2,FALSE)</f>
        <v>Finance</v>
      </c>
      <c r="F36" s="2">
        <v>42919</v>
      </c>
      <c r="G36" s="6">
        <f ca="1">DATEDIF(RAW[[#This Row],[Hire Date]], TODAY(), "Y")</f>
        <v>9</v>
      </c>
      <c r="H36" s="12">
        <v>113389</v>
      </c>
      <c r="I36" s="12" cm="1">
        <f t="array" ref="I36">IF(H36="",MEDIAN(IF(($E$2:$E$151=E36)*($H$2:$H$151&lt;&gt;""),$H$2:$H$151)),H36)</f>
        <v>113389</v>
      </c>
      <c r="J36" s="6">
        <v>30</v>
      </c>
      <c r="K36" s="14" t="str" cm="1">
        <f t="array" ref="K36">_xlfn.IFS(RAW[[#This Row],[Perf_Score]]&gt;=95,"Outstanding",RAW[[#This Row],[Perf_Score]]&gt;=85,"Exceeding",RAW[[#This Row],[Perf_Score]]&gt;=70,"Achieving",RAW[[#This Row],[Perf_Score]]&gt;=50,"Developing",RAW[[#This Row],[Perf_Score]]&lt;=49,"Needs Improvement")</f>
        <v>Needs Improvement</v>
      </c>
      <c r="L36" s="14" t="s">
        <v>296</v>
      </c>
      <c r="M36" s="17">
        <f>IF(OR(RAW[[#This Row],[Employment Status]]="Left",RAW[[#This Row],[Employment Status]]="Resigned" ), 1, 0)</f>
        <v>0</v>
      </c>
      <c r="N36" s="17" t="str" cm="1">
        <f t="array" ref="N36">_xlfn.IFS(RAW[[#This Row],[Left/Resigned Band]]=0,"Active",RAW[[#This Row],[Left/Resigned Band]]=1,"Left")</f>
        <v>Active</v>
      </c>
      <c r="O36" s="22" t="str" cm="1">
        <f t="array" ref="O36">_xlfn.IFS(RAW[[#This Row],[Perf_Score]]&gt;=95,"0.12",RAW[[#This Row],[Perf_Score]]&gt;=85,"0.08",RAW[[#This Row],[Perf_Score]]&gt;=70,"0.05",RAW[[#This Row],[Perf_Score]]&gt;=50,"0.02",RAW[[#This Row],[Perf_Score]]&lt;=49,"0")</f>
        <v>0</v>
      </c>
      <c r="P36" s="8">
        <f>RAW[[#This Row],[Salary]]*RAW[[#This Row],[Eligible Bonus Amount]]</f>
        <v>0</v>
      </c>
    </row>
    <row r="37" spans="1:16" x14ac:dyDescent="0.25">
      <c r="A37" s="14" t="s">
        <v>66</v>
      </c>
      <c r="B37" s="14" t="s">
        <v>7</v>
      </c>
      <c r="C37" t="s">
        <v>14</v>
      </c>
      <c r="D37" s="14" t="str">
        <f t="shared" si="2"/>
        <v>IT02</v>
      </c>
      <c r="E37" s="14" t="str">
        <f>VLOOKUP(RAW[[#This Row],[Dept Code]],Table4[#All],2,FALSE)</f>
        <v>Information Technology</v>
      </c>
      <c r="F37" s="2">
        <v>42248</v>
      </c>
      <c r="G37" s="6">
        <f ca="1">DATEDIF(RAW[[#This Row],[Hire Date]], TODAY(), "Y")</f>
        <v>10</v>
      </c>
      <c r="H37" s="12">
        <v>102691</v>
      </c>
      <c r="I37" s="12" cm="1">
        <f t="array" ref="I37">IF(H37="",MEDIAN(IF(($E$2:$E$151=E37)*($H$2:$H$151&lt;&gt;""),$H$2:$H$151)),H37)</f>
        <v>102691</v>
      </c>
      <c r="J37" s="6">
        <v>52</v>
      </c>
      <c r="K37" s="14" t="str" cm="1">
        <f t="array" ref="K37">_xlfn.IFS(RAW[[#This Row],[Perf_Score]]&gt;=95,"Outstanding",RAW[[#This Row],[Perf_Score]]&gt;=85,"Exceeding",RAW[[#This Row],[Perf_Score]]&gt;=70,"Achieving",RAW[[#This Row],[Perf_Score]]&gt;=50,"Developing",RAW[[#This Row],[Perf_Score]]&lt;=49,"Needs Improvement")</f>
        <v>Developing</v>
      </c>
      <c r="L37" s="14" t="s">
        <v>29</v>
      </c>
      <c r="M37" s="17">
        <f>IF(OR(RAW[[#This Row],[Employment Status]]="Left",RAW[[#This Row],[Employment Status]]="Resigned" ), 1, 0)</f>
        <v>0</v>
      </c>
      <c r="N37" s="17" t="str" cm="1">
        <f t="array" ref="N37">_xlfn.IFS(RAW[[#This Row],[Left/Resigned Band]]=0,"Active",RAW[[#This Row],[Left/Resigned Band]]=1,"Left")</f>
        <v>Active</v>
      </c>
      <c r="O37" s="22" t="str" cm="1">
        <f t="array" ref="O37">_xlfn.IFS(RAW[[#This Row],[Perf_Score]]&gt;=95,"0.12",RAW[[#This Row],[Perf_Score]]&gt;=85,"0.08",RAW[[#This Row],[Perf_Score]]&gt;=70,"0.05",RAW[[#This Row],[Perf_Score]]&gt;=50,"0.02",RAW[[#This Row],[Perf_Score]]&lt;=49,"0")</f>
        <v>0.02</v>
      </c>
      <c r="P37" s="8">
        <f>RAW[[#This Row],[Salary]]*RAW[[#This Row],[Eligible Bonus Amount]]</f>
        <v>2053.8200000000002</v>
      </c>
    </row>
    <row r="38" spans="1:16" x14ac:dyDescent="0.25">
      <c r="A38" s="14" t="s">
        <v>67</v>
      </c>
      <c r="B38" s="14" t="s">
        <v>193</v>
      </c>
      <c r="C38" t="s">
        <v>21</v>
      </c>
      <c r="D38" s="14" t="str">
        <f t="shared" si="2"/>
        <v>OPS06</v>
      </c>
      <c r="E38" s="14" t="str">
        <f>VLOOKUP(RAW[[#This Row],[Dept Code]],Table4[#All],2,FALSE)</f>
        <v>Operations</v>
      </c>
      <c r="F38" s="2">
        <v>44776</v>
      </c>
      <c r="G38" s="6">
        <f ca="1">DATEDIF(RAW[[#This Row],[Hire Date]], TODAY(), "Y")</f>
        <v>3</v>
      </c>
      <c r="H38" s="12">
        <v>111845</v>
      </c>
      <c r="I38" s="12" cm="1">
        <f t="array" ref="I38">IF(H38="",MEDIAN(IF(($E$2:$E$151=E38)*($H$2:$H$151&lt;&gt;""),$H$2:$H$151)),H38)</f>
        <v>111845</v>
      </c>
      <c r="J38" s="6">
        <v>98</v>
      </c>
      <c r="K38" s="14" t="str" cm="1">
        <f t="array" ref="K38">_xlfn.IFS(RAW[[#This Row],[Perf_Score]]&gt;=95,"Outstanding",RAW[[#This Row],[Perf_Score]]&gt;=85,"Exceeding",RAW[[#This Row],[Perf_Score]]&gt;=70,"Achieving",RAW[[#This Row],[Perf_Score]]&gt;=50,"Developing",RAW[[#This Row],[Perf_Score]]&lt;=49,"Needs Improvement")</f>
        <v>Outstanding</v>
      </c>
      <c r="L38" s="14" t="s">
        <v>29</v>
      </c>
      <c r="M38" s="17">
        <f>IF(OR(RAW[[#This Row],[Employment Status]]="Left",RAW[[#This Row],[Employment Status]]="Resigned" ), 1, 0)</f>
        <v>0</v>
      </c>
      <c r="N38" s="17" t="str" cm="1">
        <f t="array" ref="N38">_xlfn.IFS(RAW[[#This Row],[Left/Resigned Band]]=0,"Active",RAW[[#This Row],[Left/Resigned Band]]=1,"Left")</f>
        <v>Active</v>
      </c>
      <c r="O38" s="22" t="str" cm="1">
        <f t="array" ref="O38">_xlfn.IFS(RAW[[#This Row],[Perf_Score]]&gt;=95,"0.12",RAW[[#This Row],[Perf_Score]]&gt;=85,"0.08",RAW[[#This Row],[Perf_Score]]&gt;=70,"0.05",RAW[[#This Row],[Perf_Score]]&gt;=50,"0.02",RAW[[#This Row],[Perf_Score]]&lt;=49,"0")</f>
        <v>0.12</v>
      </c>
      <c r="P38" s="8">
        <f>RAW[[#This Row],[Salary]]*RAW[[#This Row],[Eligible Bonus Amount]]</f>
        <v>13421.4</v>
      </c>
    </row>
    <row r="39" spans="1:16" x14ac:dyDescent="0.25">
      <c r="A39" s="14" t="s">
        <v>68</v>
      </c>
      <c r="B39" s="14" t="s">
        <v>217</v>
      </c>
      <c r="C39" t="s">
        <v>53</v>
      </c>
      <c r="D39" s="14" t="str">
        <f t="shared" si="2"/>
        <v>SAL05</v>
      </c>
      <c r="E39" s="14" t="str">
        <f>VLOOKUP(RAW[[#This Row],[Dept Code]],Table4[#All],2,FALSE)</f>
        <v>Sales</v>
      </c>
      <c r="F39" s="2">
        <v>44741</v>
      </c>
      <c r="G39" s="6">
        <f ca="1">DATEDIF(RAW[[#This Row],[Hire Date]], TODAY(), "Y")</f>
        <v>4</v>
      </c>
      <c r="H39" s="12">
        <v>69219</v>
      </c>
      <c r="I39" s="12" cm="1">
        <f t="array" ref="I39">IF(H39="",MEDIAN(IF(($E$2:$E$151=E39)*($H$2:$H$151&lt;&gt;""),$H$2:$H$151)),H39)</f>
        <v>69219</v>
      </c>
      <c r="J39" s="6">
        <v>93</v>
      </c>
      <c r="K39" s="14" t="str" cm="1">
        <f t="array" ref="K39">_xlfn.IFS(RAW[[#This Row],[Perf_Score]]&gt;=95,"Outstanding",RAW[[#This Row],[Perf_Score]]&gt;=85,"Exceeding",RAW[[#This Row],[Perf_Score]]&gt;=70,"Achieving",RAW[[#This Row],[Perf_Score]]&gt;=50,"Developing",RAW[[#This Row],[Perf_Score]]&lt;=49,"Needs Improvement")</f>
        <v>Exceeding</v>
      </c>
      <c r="L39" s="14" t="s">
        <v>29</v>
      </c>
      <c r="M39" s="17">
        <f>IF(OR(RAW[[#This Row],[Employment Status]]="Left",RAW[[#This Row],[Employment Status]]="Resigned" ), 1, 0)</f>
        <v>0</v>
      </c>
      <c r="N39" s="17" t="str" cm="1">
        <f t="array" ref="N39">_xlfn.IFS(RAW[[#This Row],[Left/Resigned Band]]=0,"Active",RAW[[#This Row],[Left/Resigned Band]]=1,"Left")</f>
        <v>Active</v>
      </c>
      <c r="O39" s="22" t="str" cm="1">
        <f t="array" ref="O39">_xlfn.IFS(RAW[[#This Row],[Perf_Score]]&gt;=95,"0.12",RAW[[#This Row],[Perf_Score]]&gt;=85,"0.08",RAW[[#This Row],[Perf_Score]]&gt;=70,"0.05",RAW[[#This Row],[Perf_Score]]&gt;=50,"0.02",RAW[[#This Row],[Perf_Score]]&lt;=49,"0")</f>
        <v>0.08</v>
      </c>
      <c r="P39" s="8">
        <f>RAW[[#This Row],[Salary]]*RAW[[#This Row],[Eligible Bonus Amount]]</f>
        <v>5537.52</v>
      </c>
    </row>
    <row r="40" spans="1:16" x14ac:dyDescent="0.25">
      <c r="A40" t="s">
        <v>69</v>
      </c>
      <c r="B40" t="s">
        <v>218</v>
      </c>
      <c r="C40" t="s">
        <v>16</v>
      </c>
      <c r="D40" t="str">
        <f t="shared" si="2"/>
        <v>FIN03</v>
      </c>
      <c r="E40" t="str">
        <f>VLOOKUP(RAW[[#This Row],[Dept Code]],Table4[#All],2,FALSE)</f>
        <v>Finance</v>
      </c>
      <c r="F40" s="2">
        <v>43949</v>
      </c>
      <c r="G40" s="6">
        <f ca="1">DATEDIF(RAW[[#This Row],[Hire Date]], TODAY(), "Y")</f>
        <v>6</v>
      </c>
      <c r="I40" s="12" cm="1">
        <f t="array" ref="I40">IF(H40="",MEDIAN(IF(($E$2:$E$151=E40)*($H$2:$H$151&lt;&gt;""),$H$2:$H$151)),H40)</f>
        <v>93152</v>
      </c>
      <c r="J40">
        <v>80</v>
      </c>
      <c r="K40" t="str" cm="1">
        <f t="array" ref="K40">_xlfn.IFS(RAW[[#This Row],[Perf_Score]]&gt;=95,"Outstanding",RAW[[#This Row],[Perf_Score]]&gt;=85,"Exceeding",RAW[[#This Row],[Perf_Score]]&gt;=70,"Achieving",RAW[[#This Row],[Perf_Score]]&gt;=50,"Developing",RAW[[#This Row],[Perf_Score]]&lt;=49,"Needs Improvement")</f>
        <v>Achieving</v>
      </c>
      <c r="L40" t="s">
        <v>19</v>
      </c>
      <c r="M40">
        <f>IF(OR(RAW[[#This Row],[Employment Status]]="Left",RAW[[#This Row],[Employment Status]]="Resigned" ), 1, 0)</f>
        <v>1</v>
      </c>
      <c r="N40" t="str" cm="1">
        <f t="array" ref="N40">_xlfn.IFS(RAW[[#This Row],[Left/Resigned Band]]=0,"Active",RAW[[#This Row],[Left/Resigned Band]]=1,"Left")</f>
        <v>Left</v>
      </c>
      <c r="O40" t="str" cm="1">
        <f t="array" ref="O40">_xlfn.IFS(RAW[[#This Row],[Perf_Score]]&gt;=95,"0.12",RAW[[#This Row],[Perf_Score]]&gt;=85,"0.08",RAW[[#This Row],[Perf_Score]]&gt;=70,"0.05",RAW[[#This Row],[Perf_Score]]&gt;=50,"0.02",RAW[[#This Row],[Perf_Score]]&lt;=49,"0")</f>
        <v>0.05</v>
      </c>
      <c r="P40" s="3">
        <f t="shared" ref="P40:P60" si="3">SUM(O:O)</f>
        <v>0</v>
      </c>
    </row>
    <row r="41" spans="1:16" hidden="1" x14ac:dyDescent="0.25">
      <c r="A41" t="s">
        <v>71</v>
      </c>
      <c r="B41" t="s">
        <v>219</v>
      </c>
      <c r="C41" t="s">
        <v>21</v>
      </c>
      <c r="D41" t="str">
        <f t="shared" si="2"/>
        <v>OPS06</v>
      </c>
      <c r="E41" t="str">
        <f>VLOOKUP(RAW[[#This Row],[Dept Code]],Table4[#All],2,FALSE)</f>
        <v>Operations</v>
      </c>
      <c r="F41" s="2">
        <v>42987</v>
      </c>
      <c r="G41" s="6">
        <f ca="1">DATEDIF(RAW[[#This Row],[Hire Date]], TODAY(), "Y")</f>
        <v>8</v>
      </c>
      <c r="H41" s="12">
        <v>57514</v>
      </c>
      <c r="I41" s="12" cm="1">
        <f t="array" ref="I41">IF(H41="",MEDIAN(IF(($E$2:$E$151=E41)*($H$2:$H$151&lt;&gt;""),$H$2:$H$151)),H41)</f>
        <v>57514</v>
      </c>
      <c r="J41"/>
      <c r="K41" t="str" cm="1">
        <f t="array" ref="K41">_xlfn.IFS(RAW[[#This Row],[Perf_Score]]&gt;=95,"Outstanding",RAW[[#This Row],[Perf_Score]]&gt;=85,"Exceeding",RAW[[#This Row],[Perf_Score]]&gt;=70,"Achieving",RAW[[#This Row],[Perf_Score]]&gt;=50,"Developing",RAW[[#This Row],[Perf_Score]]&lt;=49,"Needs Improvement")</f>
        <v>Needs Improvement</v>
      </c>
      <c r="L41" t="s">
        <v>9</v>
      </c>
      <c r="M41">
        <f>IF(OR(RAW[[#This Row],[Employment Status]]="Left",RAW[[#This Row],[Employment Status]]="Resigned" ), 1, 0)</f>
        <v>0</v>
      </c>
      <c r="N41" t="str" cm="1">
        <f t="array" ref="N41">_xlfn.IFS(RAW[[#This Row],[Left/Resigned Band]]=0,"Active",RAW[[#This Row],[Left/Resigned Band]]=1,"Left")</f>
        <v>Active</v>
      </c>
      <c r="O41" t="str" cm="1">
        <f t="array" ref="O41">_xlfn.IFS(RAW[[#This Row],[Perf_Score]]&gt;=95,"0.12",RAW[[#This Row],[Perf_Score]]&gt;=85,"0.08",RAW[[#This Row],[Perf_Score]]&gt;=70,"0.05",RAW[[#This Row],[Perf_Score]]&gt;=50,"0.02",RAW[[#This Row],[Perf_Score]]&lt;=49,"0")</f>
        <v>0</v>
      </c>
      <c r="P41" s="3">
        <f t="shared" si="3"/>
        <v>0</v>
      </c>
    </row>
    <row r="42" spans="1:16" x14ac:dyDescent="0.25">
      <c r="A42" s="14" t="s">
        <v>72</v>
      </c>
      <c r="B42" s="14" t="s">
        <v>220</v>
      </c>
      <c r="C42" t="s">
        <v>28</v>
      </c>
      <c r="D42" s="14" t="str">
        <f t="shared" si="2"/>
        <v>SAL05</v>
      </c>
      <c r="E42" s="14" t="str">
        <f>VLOOKUP(RAW[[#This Row],[Dept Code]],Table4[#All],2,FALSE)</f>
        <v>Sales</v>
      </c>
      <c r="F42" s="2">
        <v>43181</v>
      </c>
      <c r="G42" s="6">
        <f ca="1">DATEDIF(RAW[[#This Row],[Hire Date]], TODAY(), "Y")</f>
        <v>8</v>
      </c>
      <c r="H42" s="12">
        <v>86245</v>
      </c>
      <c r="I42" s="12" cm="1">
        <f t="array" ref="I42">IF(H42="",MEDIAN(IF(($E$2:$E$151=E42)*($H$2:$H$151&lt;&gt;""),$H$2:$H$151)),H42)</f>
        <v>86245</v>
      </c>
      <c r="J42" s="6">
        <v>71</v>
      </c>
      <c r="K42" s="14" t="str" cm="1">
        <f t="array" ref="K42">_xlfn.IFS(RAW[[#This Row],[Perf_Score]]&gt;=95,"Outstanding",RAW[[#This Row],[Perf_Score]]&gt;=85,"Exceeding",RAW[[#This Row],[Perf_Score]]&gt;=70,"Achieving",RAW[[#This Row],[Perf_Score]]&gt;=50,"Developing",RAW[[#This Row],[Perf_Score]]&lt;=49,"Needs Improvement")</f>
        <v>Achieving</v>
      </c>
      <c r="L42" s="14" t="s">
        <v>19</v>
      </c>
      <c r="M42" s="17">
        <f>IF(OR(RAW[[#This Row],[Employment Status]]="Left",RAW[[#This Row],[Employment Status]]="Resigned" ), 1, 0)</f>
        <v>1</v>
      </c>
      <c r="N42" s="17" t="str" cm="1">
        <f t="array" ref="N42">_xlfn.IFS(RAW[[#This Row],[Left/Resigned Band]]=0,"Active",RAW[[#This Row],[Left/Resigned Band]]=1,"Left")</f>
        <v>Left</v>
      </c>
      <c r="O42" s="22" t="str" cm="1">
        <f t="array" ref="O42">_xlfn.IFS(RAW[[#This Row],[Perf_Score]]&gt;=95,"0.12",RAW[[#This Row],[Perf_Score]]&gt;=85,"0.08",RAW[[#This Row],[Perf_Score]]&gt;=70,"0.05",RAW[[#This Row],[Perf_Score]]&gt;=50,"0.02",RAW[[#This Row],[Perf_Score]]&lt;=49,"0")</f>
        <v>0.05</v>
      </c>
      <c r="P42" s="8">
        <f>RAW[[#This Row],[Salary]]*RAW[[#This Row],[Eligible Bonus Amount]]</f>
        <v>4312.25</v>
      </c>
    </row>
    <row r="43" spans="1:16" x14ac:dyDescent="0.25">
      <c r="A43" s="14" t="s">
        <v>73</v>
      </c>
      <c r="B43" s="14" t="s">
        <v>221</v>
      </c>
      <c r="C43" t="s">
        <v>28</v>
      </c>
      <c r="D43" s="14" t="str">
        <f t="shared" si="2"/>
        <v>SAL05</v>
      </c>
      <c r="E43" s="14" t="str">
        <f>VLOOKUP(RAW[[#This Row],[Dept Code]],Table4[#All],2,FALSE)</f>
        <v>Sales</v>
      </c>
      <c r="F43" s="2">
        <v>43958</v>
      </c>
      <c r="G43" s="6">
        <f ca="1">DATEDIF(RAW[[#This Row],[Hire Date]], TODAY(), "Y")</f>
        <v>6</v>
      </c>
      <c r="H43" s="12">
        <v>52407</v>
      </c>
      <c r="I43" s="12" cm="1">
        <f t="array" ref="I43">IF(H43="",MEDIAN(IF(($E$2:$E$151=E43)*($H$2:$H$151&lt;&gt;""),$H$2:$H$151)),H43)</f>
        <v>52407</v>
      </c>
      <c r="J43" s="6">
        <v>55</v>
      </c>
      <c r="K43" s="14" t="str" cm="1">
        <f t="array" ref="K43">_xlfn.IFS(RAW[[#This Row],[Perf_Score]]&gt;=95,"Outstanding",RAW[[#This Row],[Perf_Score]]&gt;=85,"Exceeding",RAW[[#This Row],[Perf_Score]]&gt;=70,"Achieving",RAW[[#This Row],[Perf_Score]]&gt;=50,"Developing",RAW[[#This Row],[Perf_Score]]&lt;=49,"Needs Improvement")</f>
        <v>Developing</v>
      </c>
      <c r="L43" s="14" t="s">
        <v>29</v>
      </c>
      <c r="M43" s="17">
        <f>IF(OR(RAW[[#This Row],[Employment Status]]="Left",RAW[[#This Row],[Employment Status]]="Resigned" ), 1, 0)</f>
        <v>0</v>
      </c>
      <c r="N43" s="17" t="str" cm="1">
        <f t="array" ref="N43">_xlfn.IFS(RAW[[#This Row],[Left/Resigned Band]]=0,"Active",RAW[[#This Row],[Left/Resigned Band]]=1,"Left")</f>
        <v>Active</v>
      </c>
      <c r="O43" s="22" t="str" cm="1">
        <f t="array" ref="O43">_xlfn.IFS(RAW[[#This Row],[Perf_Score]]&gt;=95,"0.12",RAW[[#This Row],[Perf_Score]]&gt;=85,"0.08",RAW[[#This Row],[Perf_Score]]&gt;=70,"0.05",RAW[[#This Row],[Perf_Score]]&gt;=50,"0.02",RAW[[#This Row],[Perf_Score]]&lt;=49,"0")</f>
        <v>0.02</v>
      </c>
      <c r="P43" s="8">
        <f>RAW[[#This Row],[Salary]]*RAW[[#This Row],[Eligible Bonus Amount]]</f>
        <v>1048.1400000000001</v>
      </c>
    </row>
    <row r="44" spans="1:16" x14ac:dyDescent="0.25">
      <c r="A44" s="14" t="s">
        <v>74</v>
      </c>
      <c r="B44" s="14" t="s">
        <v>222</v>
      </c>
      <c r="C44" t="s">
        <v>23</v>
      </c>
      <c r="D44" s="14" t="str">
        <f t="shared" si="2"/>
        <v>OPS06</v>
      </c>
      <c r="E44" s="14" t="str">
        <f>VLOOKUP(RAW[[#This Row],[Dept Code]],Table4[#All],2,FALSE)</f>
        <v>Operations</v>
      </c>
      <c r="F44" s="2">
        <v>43549</v>
      </c>
      <c r="G44" s="6">
        <f ca="1">DATEDIF(RAW[[#This Row],[Hire Date]], TODAY(), "Y")</f>
        <v>7</v>
      </c>
      <c r="H44" s="12">
        <v>66606</v>
      </c>
      <c r="I44" s="12" cm="1">
        <f t="array" ref="I44">IF(H44="",MEDIAN(IF(($E$2:$E$151=E44)*($H$2:$H$151&lt;&gt;""),$H$2:$H$151)),H44)</f>
        <v>66606</v>
      </c>
      <c r="J44" s="6">
        <v>93</v>
      </c>
      <c r="K44" s="14" t="str" cm="1">
        <f t="array" ref="K44">_xlfn.IFS(RAW[[#This Row],[Perf_Score]]&gt;=95,"Outstanding",RAW[[#This Row],[Perf_Score]]&gt;=85,"Exceeding",RAW[[#This Row],[Perf_Score]]&gt;=70,"Achieving",RAW[[#This Row],[Perf_Score]]&gt;=50,"Developing",RAW[[#This Row],[Perf_Score]]&lt;=49,"Needs Improvement")</f>
        <v>Exceeding</v>
      </c>
      <c r="L44" s="14" t="s">
        <v>75</v>
      </c>
      <c r="M44" s="17">
        <f>IF(OR(RAW[[#This Row],[Employment Status]]="Left",RAW[[#This Row],[Employment Status]]="Resigned" ), 1, 0)</f>
        <v>1</v>
      </c>
      <c r="N44" s="17" t="str" cm="1">
        <f t="array" ref="N44">_xlfn.IFS(RAW[[#This Row],[Left/Resigned Band]]=0,"Active",RAW[[#This Row],[Left/Resigned Band]]=1,"Left")</f>
        <v>Left</v>
      </c>
      <c r="O44" s="22" t="str" cm="1">
        <f t="array" ref="O44">_xlfn.IFS(RAW[[#This Row],[Perf_Score]]&gt;=95,"0.12",RAW[[#This Row],[Perf_Score]]&gt;=85,"0.08",RAW[[#This Row],[Perf_Score]]&gt;=70,"0.05",RAW[[#This Row],[Perf_Score]]&gt;=50,"0.02",RAW[[#This Row],[Perf_Score]]&lt;=49,"0")</f>
        <v>0.08</v>
      </c>
      <c r="P44" s="8">
        <f>RAW[[#This Row],[Salary]]*RAW[[#This Row],[Eligible Bonus Amount]]</f>
        <v>5328.4800000000005</v>
      </c>
    </row>
    <row r="45" spans="1:16" x14ac:dyDescent="0.25">
      <c r="A45" s="14" t="s">
        <v>76</v>
      </c>
      <c r="B45" s="14" t="s">
        <v>223</v>
      </c>
      <c r="C45" t="s">
        <v>8</v>
      </c>
      <c r="D45" s="14" t="str">
        <f t="shared" si="2"/>
        <v>IT02</v>
      </c>
      <c r="E45" s="14" t="str">
        <f>VLOOKUP(RAW[[#This Row],[Dept Code]],Table4[#All],2,FALSE)</f>
        <v>Information Technology</v>
      </c>
      <c r="F45" s="2">
        <v>43686</v>
      </c>
      <c r="G45" s="6">
        <f ca="1">DATEDIF(RAW[[#This Row],[Hire Date]], TODAY(), "Y")</f>
        <v>6</v>
      </c>
      <c r="H45" s="12">
        <v>81896</v>
      </c>
      <c r="I45" s="12" cm="1">
        <f t="array" ref="I45">IF(H45="",MEDIAN(IF(($E$2:$E$151=E45)*($H$2:$H$151&lt;&gt;""),$H$2:$H$151)),H45)</f>
        <v>81896</v>
      </c>
      <c r="J45" s="6">
        <v>79</v>
      </c>
      <c r="K45" s="14" t="str" cm="1">
        <f t="array" ref="K45">_xlfn.IFS(RAW[[#This Row],[Perf_Score]]&gt;=95,"Outstanding",RAW[[#This Row],[Perf_Score]]&gt;=85,"Exceeding",RAW[[#This Row],[Perf_Score]]&gt;=70,"Achieving",RAW[[#This Row],[Perf_Score]]&gt;=50,"Developing",RAW[[#This Row],[Perf_Score]]&lt;=49,"Needs Improvement")</f>
        <v>Achieving</v>
      </c>
      <c r="L45" s="14" t="s">
        <v>75</v>
      </c>
      <c r="M45" s="17">
        <f>IF(OR(RAW[[#This Row],[Employment Status]]="Left",RAW[[#This Row],[Employment Status]]="Resigned" ), 1, 0)</f>
        <v>1</v>
      </c>
      <c r="N45" s="17" t="str" cm="1">
        <f t="array" ref="N45">_xlfn.IFS(RAW[[#This Row],[Left/Resigned Band]]=0,"Active",RAW[[#This Row],[Left/Resigned Band]]=1,"Left")</f>
        <v>Left</v>
      </c>
      <c r="O45" s="22" t="str" cm="1">
        <f t="array" ref="O45">_xlfn.IFS(RAW[[#This Row],[Perf_Score]]&gt;=95,"0.12",RAW[[#This Row],[Perf_Score]]&gt;=85,"0.08",RAW[[#This Row],[Perf_Score]]&gt;=70,"0.05",RAW[[#This Row],[Perf_Score]]&gt;=50,"0.02",RAW[[#This Row],[Perf_Score]]&lt;=49,"0")</f>
        <v>0.05</v>
      </c>
      <c r="P45" s="8">
        <f>RAW[[#This Row],[Salary]]*RAW[[#This Row],[Eligible Bonus Amount]]</f>
        <v>4094.8</v>
      </c>
    </row>
    <row r="46" spans="1:16" x14ac:dyDescent="0.25">
      <c r="A46" s="14" t="s">
        <v>77</v>
      </c>
      <c r="B46" s="14" t="s">
        <v>224</v>
      </c>
      <c r="C46" t="s">
        <v>28</v>
      </c>
      <c r="D46" s="14" t="str">
        <f t="shared" si="2"/>
        <v>SAL05</v>
      </c>
      <c r="E46" s="14" t="str">
        <f>VLOOKUP(RAW[[#This Row],[Dept Code]],Table4[#All],2,FALSE)</f>
        <v>Sales</v>
      </c>
      <c r="F46" s="2">
        <v>42565</v>
      </c>
      <c r="G46" s="6">
        <f ca="1">DATEDIF(RAW[[#This Row],[Hire Date]], TODAY(), "Y")</f>
        <v>9</v>
      </c>
      <c r="H46" s="12">
        <v>78402</v>
      </c>
      <c r="I46" s="12" cm="1">
        <f t="array" ref="I46">IF(H46="",MEDIAN(IF(($E$2:$E$151=E46)*($H$2:$H$151&lt;&gt;""),$H$2:$H$151)),H46)</f>
        <v>78402</v>
      </c>
      <c r="J46" s="6">
        <v>54</v>
      </c>
      <c r="K46" s="14" t="str" cm="1">
        <f t="array" ref="K46">_xlfn.IFS(RAW[[#This Row],[Perf_Score]]&gt;=95,"Outstanding",RAW[[#This Row],[Perf_Score]]&gt;=85,"Exceeding",RAW[[#This Row],[Perf_Score]]&gt;=70,"Achieving",RAW[[#This Row],[Perf_Score]]&gt;=50,"Developing",RAW[[#This Row],[Perf_Score]]&lt;=49,"Needs Improvement")</f>
        <v>Developing</v>
      </c>
      <c r="L46" s="14" t="s">
        <v>296</v>
      </c>
      <c r="M46" s="17">
        <f>IF(OR(RAW[[#This Row],[Employment Status]]="Left",RAW[[#This Row],[Employment Status]]="Resigned" ), 1, 0)</f>
        <v>0</v>
      </c>
      <c r="N46" s="17" t="str" cm="1">
        <f t="array" ref="N46">_xlfn.IFS(RAW[[#This Row],[Left/Resigned Band]]=0,"Active",RAW[[#This Row],[Left/Resigned Band]]=1,"Left")</f>
        <v>Active</v>
      </c>
      <c r="O46" s="22" t="str" cm="1">
        <f t="array" ref="O46">_xlfn.IFS(RAW[[#This Row],[Perf_Score]]&gt;=95,"0.12",RAW[[#This Row],[Perf_Score]]&gt;=85,"0.08",RAW[[#This Row],[Perf_Score]]&gt;=70,"0.05",RAW[[#This Row],[Perf_Score]]&gt;=50,"0.02",RAW[[#This Row],[Perf_Score]]&lt;=49,"0")</f>
        <v>0.02</v>
      </c>
      <c r="P46" s="8">
        <f>RAW[[#This Row],[Salary]]*RAW[[#This Row],[Eligible Bonus Amount]]</f>
        <v>1568.04</v>
      </c>
    </row>
    <row r="47" spans="1:16" x14ac:dyDescent="0.25">
      <c r="A47" s="14" t="s">
        <v>78</v>
      </c>
      <c r="B47" s="14" t="s">
        <v>225</v>
      </c>
      <c r="C47" t="s">
        <v>23</v>
      </c>
      <c r="D47" s="14" t="str">
        <f t="shared" si="2"/>
        <v>OPS06</v>
      </c>
      <c r="E47" s="14" t="str">
        <f>VLOOKUP(RAW[[#This Row],[Dept Code]],Table4[#All],2,FALSE)</f>
        <v>Operations</v>
      </c>
      <c r="F47" s="2">
        <v>42647</v>
      </c>
      <c r="G47" s="6">
        <f ca="1">DATEDIF(RAW[[#This Row],[Hire Date]], TODAY(), "Y")</f>
        <v>9</v>
      </c>
      <c r="H47" s="12">
        <v>105498</v>
      </c>
      <c r="I47" s="12" cm="1">
        <f t="array" ref="I47">IF(H47="",MEDIAN(IF(($E$2:$E$151=E47)*($H$2:$H$151&lt;&gt;""),$H$2:$H$151)),H47)</f>
        <v>105498</v>
      </c>
      <c r="J47" s="6">
        <v>76</v>
      </c>
      <c r="K47" s="14" t="str" cm="1">
        <f t="array" ref="K47">_xlfn.IFS(RAW[[#This Row],[Perf_Score]]&gt;=95,"Outstanding",RAW[[#This Row],[Perf_Score]]&gt;=85,"Exceeding",RAW[[#This Row],[Perf_Score]]&gt;=70,"Achieving",RAW[[#This Row],[Perf_Score]]&gt;=50,"Developing",RAW[[#This Row],[Perf_Score]]&lt;=49,"Needs Improvement")</f>
        <v>Achieving</v>
      </c>
      <c r="L47" s="14" t="s">
        <v>29</v>
      </c>
      <c r="M47" s="17">
        <f>IF(OR(RAW[[#This Row],[Employment Status]]="Left",RAW[[#This Row],[Employment Status]]="Resigned" ), 1, 0)</f>
        <v>0</v>
      </c>
      <c r="N47" s="17" t="str" cm="1">
        <f t="array" ref="N47">_xlfn.IFS(RAW[[#This Row],[Left/Resigned Band]]=0,"Active",RAW[[#This Row],[Left/Resigned Band]]=1,"Left")</f>
        <v>Active</v>
      </c>
      <c r="O47" s="22" t="str" cm="1">
        <f t="array" ref="O47">_xlfn.IFS(RAW[[#This Row],[Perf_Score]]&gt;=95,"0.12",RAW[[#This Row],[Perf_Score]]&gt;=85,"0.08",RAW[[#This Row],[Perf_Score]]&gt;=70,"0.05",RAW[[#This Row],[Perf_Score]]&gt;=50,"0.02",RAW[[#This Row],[Perf_Score]]&lt;=49,"0")</f>
        <v>0.05</v>
      </c>
      <c r="P47" s="8">
        <f>RAW[[#This Row],[Salary]]*RAW[[#This Row],[Eligible Bonus Amount]]</f>
        <v>5274.9000000000005</v>
      </c>
    </row>
    <row r="48" spans="1:16" x14ac:dyDescent="0.25">
      <c r="A48" s="14" t="s">
        <v>79</v>
      </c>
      <c r="B48" s="14" t="s">
        <v>226</v>
      </c>
      <c r="C48" t="s">
        <v>11</v>
      </c>
      <c r="D48" s="14" t="str">
        <f t="shared" si="2"/>
        <v>MKT04</v>
      </c>
      <c r="E48" s="14" t="str">
        <f>VLOOKUP(RAW[[#This Row],[Dept Code]],Table4[#All],2,FALSE)</f>
        <v>Marketing</v>
      </c>
      <c r="F48" s="2">
        <v>43656</v>
      </c>
      <c r="G48" s="6">
        <f ca="1">DATEDIF(RAW[[#This Row],[Hire Date]], TODAY(), "Y")</f>
        <v>6</v>
      </c>
      <c r="H48" s="12">
        <v>91749</v>
      </c>
      <c r="I48" s="12" cm="1">
        <f t="array" ref="I48">IF(H48="",MEDIAN(IF(($E$2:$E$151=E48)*($H$2:$H$151&lt;&gt;""),$H$2:$H$151)),H48)</f>
        <v>91749</v>
      </c>
      <c r="J48" s="6">
        <v>72</v>
      </c>
      <c r="K48" s="14" t="str" cm="1">
        <f t="array" ref="K48">_xlfn.IFS(RAW[[#This Row],[Perf_Score]]&gt;=95,"Outstanding",RAW[[#This Row],[Perf_Score]]&gt;=85,"Exceeding",RAW[[#This Row],[Perf_Score]]&gt;=70,"Achieving",RAW[[#This Row],[Perf_Score]]&gt;=50,"Developing",RAW[[#This Row],[Perf_Score]]&lt;=49,"Needs Improvement")</f>
        <v>Achieving</v>
      </c>
      <c r="L48" s="14" t="s">
        <v>19</v>
      </c>
      <c r="M48" s="17">
        <f>IF(OR(RAW[[#This Row],[Employment Status]]="Left",RAW[[#This Row],[Employment Status]]="Resigned" ), 1, 0)</f>
        <v>1</v>
      </c>
      <c r="N48" s="17" t="str" cm="1">
        <f t="array" ref="N48">_xlfn.IFS(RAW[[#This Row],[Left/Resigned Band]]=0,"Active",RAW[[#This Row],[Left/Resigned Band]]=1,"Left")</f>
        <v>Left</v>
      </c>
      <c r="O48" s="22" t="str" cm="1">
        <f t="array" ref="O48">_xlfn.IFS(RAW[[#This Row],[Perf_Score]]&gt;=95,"0.12",RAW[[#This Row],[Perf_Score]]&gt;=85,"0.08",RAW[[#This Row],[Perf_Score]]&gt;=70,"0.05",RAW[[#This Row],[Perf_Score]]&gt;=50,"0.02",RAW[[#This Row],[Perf_Score]]&lt;=49,"0")</f>
        <v>0.05</v>
      </c>
      <c r="P48" s="8">
        <f>RAW[[#This Row],[Salary]]*RAW[[#This Row],[Eligible Bonus Amount]]</f>
        <v>4587.45</v>
      </c>
    </row>
    <row r="49" spans="1:16" x14ac:dyDescent="0.25">
      <c r="A49" s="14" t="s">
        <v>80</v>
      </c>
      <c r="B49" s="14" t="s">
        <v>227</v>
      </c>
      <c r="C49" t="s">
        <v>23</v>
      </c>
      <c r="D49" s="14" t="str">
        <f t="shared" si="2"/>
        <v>OPS06</v>
      </c>
      <c r="E49" s="14" t="str">
        <f>VLOOKUP(RAW[[#This Row],[Dept Code]],Table4[#All],2,FALSE)</f>
        <v>Operations</v>
      </c>
      <c r="F49" s="2">
        <v>44437</v>
      </c>
      <c r="G49" s="6">
        <f ca="1">DATEDIF(RAW[[#This Row],[Hire Date]], TODAY(), "Y")</f>
        <v>4</v>
      </c>
      <c r="H49" s="12">
        <v>99935</v>
      </c>
      <c r="I49" s="12" cm="1">
        <f t="array" ref="I49">IF(H49="",MEDIAN(IF(($E$2:$E$151=E49)*($H$2:$H$151&lt;&gt;""),$H$2:$H$151)),H49)</f>
        <v>99935</v>
      </c>
      <c r="J49" s="6">
        <v>84</v>
      </c>
      <c r="K49" s="14" t="str" cm="1">
        <f t="array" ref="K49">_xlfn.IFS(RAW[[#This Row],[Perf_Score]]&gt;=95,"Outstanding",RAW[[#This Row],[Perf_Score]]&gt;=85,"Exceeding",RAW[[#This Row],[Perf_Score]]&gt;=70,"Achieving",RAW[[#This Row],[Perf_Score]]&gt;=50,"Developing",RAW[[#This Row],[Perf_Score]]&lt;=49,"Needs Improvement")</f>
        <v>Achieving</v>
      </c>
      <c r="L49" s="14" t="s">
        <v>75</v>
      </c>
      <c r="M49" s="17">
        <f>IF(OR(RAW[[#This Row],[Employment Status]]="Left",RAW[[#This Row],[Employment Status]]="Resigned" ), 1, 0)</f>
        <v>1</v>
      </c>
      <c r="N49" s="17" t="str" cm="1">
        <f t="array" ref="N49">_xlfn.IFS(RAW[[#This Row],[Left/Resigned Band]]=0,"Active",RAW[[#This Row],[Left/Resigned Band]]=1,"Left")</f>
        <v>Left</v>
      </c>
      <c r="O49" s="22" t="str" cm="1">
        <f t="array" ref="O49">_xlfn.IFS(RAW[[#This Row],[Perf_Score]]&gt;=95,"0.12",RAW[[#This Row],[Perf_Score]]&gt;=85,"0.08",RAW[[#This Row],[Perf_Score]]&gt;=70,"0.05",RAW[[#This Row],[Perf_Score]]&gt;=50,"0.02",RAW[[#This Row],[Perf_Score]]&lt;=49,"0")</f>
        <v>0.05</v>
      </c>
      <c r="P49" s="8">
        <f>RAW[[#This Row],[Salary]]*RAW[[#This Row],[Eligible Bonus Amount]]</f>
        <v>4996.75</v>
      </c>
    </row>
    <row r="50" spans="1:16" x14ac:dyDescent="0.25">
      <c r="A50" s="14" t="s">
        <v>81</v>
      </c>
      <c r="B50" s="14" t="s">
        <v>228</v>
      </c>
      <c r="C50" t="s">
        <v>14</v>
      </c>
      <c r="D50" s="14" t="str">
        <f t="shared" si="2"/>
        <v>IT02</v>
      </c>
      <c r="E50" s="14" t="str">
        <f>VLOOKUP(RAW[[#This Row],[Dept Code]],Table4[#All],2,FALSE)</f>
        <v>Information Technology</v>
      </c>
      <c r="F50" s="2">
        <v>42761</v>
      </c>
      <c r="G50" s="6">
        <f ca="1">DATEDIF(RAW[[#This Row],[Hire Date]], TODAY(), "Y")</f>
        <v>9</v>
      </c>
      <c r="H50" s="12">
        <v>83531</v>
      </c>
      <c r="I50" s="12" cm="1">
        <f t="array" ref="I50">IF(H50="",MEDIAN(IF(($E$2:$E$151=E50)*($H$2:$H$151&lt;&gt;""),$H$2:$H$151)),H50)</f>
        <v>83531</v>
      </c>
      <c r="J50" s="6">
        <v>30</v>
      </c>
      <c r="K50" s="14" t="str" cm="1">
        <f t="array" ref="K50">_xlfn.IFS(RAW[[#This Row],[Perf_Score]]&gt;=95,"Outstanding",RAW[[#This Row],[Perf_Score]]&gt;=85,"Exceeding",RAW[[#This Row],[Perf_Score]]&gt;=70,"Achieving",RAW[[#This Row],[Perf_Score]]&gt;=50,"Developing",RAW[[#This Row],[Perf_Score]]&lt;=49,"Needs Improvement")</f>
        <v>Needs Improvement</v>
      </c>
      <c r="L50" s="14" t="s">
        <v>19</v>
      </c>
      <c r="M50" s="17">
        <f>IF(OR(RAW[[#This Row],[Employment Status]]="Left",RAW[[#This Row],[Employment Status]]="Resigned" ), 1, 0)</f>
        <v>1</v>
      </c>
      <c r="N50" s="17" t="str" cm="1">
        <f t="array" ref="N50">_xlfn.IFS(RAW[[#This Row],[Left/Resigned Band]]=0,"Active",RAW[[#This Row],[Left/Resigned Band]]=1,"Left")</f>
        <v>Left</v>
      </c>
      <c r="O50" s="22" t="str" cm="1">
        <f t="array" ref="O50">_xlfn.IFS(RAW[[#This Row],[Perf_Score]]&gt;=95,"0.12",RAW[[#This Row],[Perf_Score]]&gt;=85,"0.08",RAW[[#This Row],[Perf_Score]]&gt;=70,"0.05",RAW[[#This Row],[Perf_Score]]&gt;=50,"0.02",RAW[[#This Row],[Perf_Score]]&lt;=49,"0")</f>
        <v>0</v>
      </c>
      <c r="P50" s="8">
        <f>RAW[[#This Row],[Salary]]*RAW[[#This Row],[Eligible Bonus Amount]]</f>
        <v>0</v>
      </c>
    </row>
    <row r="51" spans="1:16" hidden="1" x14ac:dyDescent="0.25">
      <c r="A51" t="s">
        <v>82</v>
      </c>
      <c r="B51" t="s">
        <v>229</v>
      </c>
      <c r="C51" t="s">
        <v>36</v>
      </c>
      <c r="D51" t="str">
        <f t="shared" si="2"/>
        <v>MKT04</v>
      </c>
      <c r="E51" t="str">
        <f>VLOOKUP(RAW[[#This Row],[Dept Code]],Table4[#All],2,FALSE)</f>
        <v>Marketing</v>
      </c>
      <c r="F51" s="2">
        <v>43981</v>
      </c>
      <c r="G51" s="6">
        <f ca="1">DATEDIF(RAW[[#This Row],[Hire Date]], TODAY(), "Y")</f>
        <v>6</v>
      </c>
      <c r="H51" s="12">
        <v>75023</v>
      </c>
      <c r="I51" s="12" cm="1">
        <f t="array" ref="I51">IF(H51="",MEDIAN(IF(($E$2:$E$151=E51)*($H$2:$H$151&lt;&gt;""),$H$2:$H$151)),H51)</f>
        <v>75023</v>
      </c>
      <c r="J51"/>
      <c r="K51" t="str" cm="1">
        <f t="array" ref="K51">_xlfn.IFS(RAW[[#This Row],[Perf_Score]]&gt;=95,"Outstanding",RAW[[#This Row],[Perf_Score]]&gt;=85,"Exceeding",RAW[[#This Row],[Perf_Score]]&gt;=70,"Achieving",RAW[[#This Row],[Perf_Score]]&gt;=50,"Developing",RAW[[#This Row],[Perf_Score]]&lt;=49,"Needs Improvement")</f>
        <v>Needs Improvement</v>
      </c>
      <c r="L51" t="s">
        <v>12</v>
      </c>
      <c r="M51">
        <f>IF(OR(RAW[[#This Row],[Employment Status]]="Left",RAW[[#This Row],[Employment Status]]="Resigned" ), 1, 0)</f>
        <v>0</v>
      </c>
      <c r="N51" t="str" cm="1">
        <f t="array" ref="N51">_xlfn.IFS(RAW[[#This Row],[Left/Resigned Band]]=0,"Active",RAW[[#This Row],[Left/Resigned Band]]=1,"Left")</f>
        <v>Active</v>
      </c>
      <c r="O51" t="str" cm="1">
        <f t="array" ref="O51">_xlfn.IFS(RAW[[#This Row],[Perf_Score]]&gt;=95,"0.12",RAW[[#This Row],[Perf_Score]]&gt;=85,"0.08",RAW[[#This Row],[Perf_Score]]&gt;=70,"0.05",RAW[[#This Row],[Perf_Score]]&gt;=50,"0.02",RAW[[#This Row],[Perf_Score]]&lt;=49,"0")</f>
        <v>0</v>
      </c>
      <c r="P51" s="3">
        <f t="shared" si="3"/>
        <v>0</v>
      </c>
    </row>
    <row r="52" spans="1:16" x14ac:dyDescent="0.25">
      <c r="A52" s="14" t="s">
        <v>83</v>
      </c>
      <c r="B52" s="14" t="s">
        <v>230</v>
      </c>
      <c r="C52" t="s">
        <v>64</v>
      </c>
      <c r="D52" s="14" t="str">
        <f t="shared" si="2"/>
        <v>HR01</v>
      </c>
      <c r="E52" s="14" t="str">
        <f>VLOOKUP(RAW[[#This Row],[Dept Code]],Table4[#All],2,FALSE)</f>
        <v>Human Resources</v>
      </c>
      <c r="F52" s="2">
        <v>44612</v>
      </c>
      <c r="G52" s="6">
        <f ca="1">DATEDIF(RAW[[#This Row],[Hire Date]], TODAY(), "Y")</f>
        <v>4</v>
      </c>
      <c r="H52" s="12">
        <v>93290</v>
      </c>
      <c r="I52" s="12" cm="1">
        <f t="array" ref="I52">IF(H52="",MEDIAN(IF(($E$2:$E$151=E52)*($H$2:$H$151&lt;&gt;""),$H$2:$H$151)),H52)</f>
        <v>93290</v>
      </c>
      <c r="J52" s="6">
        <v>53</v>
      </c>
      <c r="K52" s="14" t="str" cm="1">
        <f t="array" ref="K52">_xlfn.IFS(RAW[[#This Row],[Perf_Score]]&gt;=95,"Outstanding",RAW[[#This Row],[Perf_Score]]&gt;=85,"Exceeding",RAW[[#This Row],[Perf_Score]]&gt;=70,"Achieving",RAW[[#This Row],[Perf_Score]]&gt;=50,"Developing",RAW[[#This Row],[Perf_Score]]&lt;=49,"Needs Improvement")</f>
        <v>Developing</v>
      </c>
      <c r="L52" s="14" t="s">
        <v>296</v>
      </c>
      <c r="M52" s="17">
        <f>IF(OR(RAW[[#This Row],[Employment Status]]="Left",RAW[[#This Row],[Employment Status]]="Resigned" ), 1, 0)</f>
        <v>0</v>
      </c>
      <c r="N52" s="17" t="str" cm="1">
        <f t="array" ref="N52">_xlfn.IFS(RAW[[#This Row],[Left/Resigned Band]]=0,"Active",RAW[[#This Row],[Left/Resigned Band]]=1,"Left")</f>
        <v>Active</v>
      </c>
      <c r="O52" s="22" t="str" cm="1">
        <f t="array" ref="O52">_xlfn.IFS(RAW[[#This Row],[Perf_Score]]&gt;=95,"0.12",RAW[[#This Row],[Perf_Score]]&gt;=85,"0.08",RAW[[#This Row],[Perf_Score]]&gt;=70,"0.05",RAW[[#This Row],[Perf_Score]]&gt;=50,"0.02",RAW[[#This Row],[Perf_Score]]&lt;=49,"0")</f>
        <v>0.02</v>
      </c>
      <c r="P52" s="8">
        <f>RAW[[#This Row],[Salary]]*RAW[[#This Row],[Eligible Bonus Amount]]</f>
        <v>1865.8</v>
      </c>
    </row>
    <row r="53" spans="1:16" x14ac:dyDescent="0.25">
      <c r="A53" s="14" t="s">
        <v>84</v>
      </c>
      <c r="B53" s="14" t="s">
        <v>231</v>
      </c>
      <c r="C53" t="s">
        <v>21</v>
      </c>
      <c r="D53" s="14" t="str">
        <f t="shared" si="2"/>
        <v>OPS06</v>
      </c>
      <c r="E53" s="14" t="str">
        <f>VLOOKUP(RAW[[#This Row],[Dept Code]],Table4[#All],2,FALSE)</f>
        <v>Operations</v>
      </c>
      <c r="F53" s="2">
        <v>42628</v>
      </c>
      <c r="G53" s="6">
        <f ca="1">DATEDIF(RAW[[#This Row],[Hire Date]], TODAY(), "Y")</f>
        <v>9</v>
      </c>
      <c r="H53" s="12">
        <v>115527</v>
      </c>
      <c r="I53" s="12" cm="1">
        <f t="array" ref="I53">IF(H53="",MEDIAN(IF(($E$2:$E$151=E53)*($H$2:$H$151&lt;&gt;""),$H$2:$H$151)),H53)</f>
        <v>115527</v>
      </c>
      <c r="J53" s="6">
        <v>63</v>
      </c>
      <c r="K53" s="14" t="str" cm="1">
        <f t="array" ref="K53">_xlfn.IFS(RAW[[#This Row],[Perf_Score]]&gt;=95,"Outstanding",RAW[[#This Row],[Perf_Score]]&gt;=85,"Exceeding",RAW[[#This Row],[Perf_Score]]&gt;=70,"Achieving",RAW[[#This Row],[Perf_Score]]&gt;=50,"Developing",RAW[[#This Row],[Perf_Score]]&lt;=49,"Needs Improvement")</f>
        <v>Developing</v>
      </c>
      <c r="L53" s="14" t="s">
        <v>75</v>
      </c>
      <c r="M53" s="17">
        <f>IF(OR(RAW[[#This Row],[Employment Status]]="Left",RAW[[#This Row],[Employment Status]]="Resigned" ), 1, 0)</f>
        <v>1</v>
      </c>
      <c r="N53" s="17" t="str" cm="1">
        <f t="array" ref="N53">_xlfn.IFS(RAW[[#This Row],[Left/Resigned Band]]=0,"Active",RAW[[#This Row],[Left/Resigned Band]]=1,"Left")</f>
        <v>Left</v>
      </c>
      <c r="O53" s="22" t="str" cm="1">
        <f t="array" ref="O53">_xlfn.IFS(RAW[[#This Row],[Perf_Score]]&gt;=95,"0.12",RAW[[#This Row],[Perf_Score]]&gt;=85,"0.08",RAW[[#This Row],[Perf_Score]]&gt;=70,"0.05",RAW[[#This Row],[Perf_Score]]&gt;=50,"0.02",RAW[[#This Row],[Perf_Score]]&lt;=49,"0")</f>
        <v>0.02</v>
      </c>
      <c r="P53" s="8">
        <f>RAW[[#This Row],[Salary]]*RAW[[#This Row],[Eligible Bonus Amount]]</f>
        <v>2310.54</v>
      </c>
    </row>
    <row r="54" spans="1:16" x14ac:dyDescent="0.25">
      <c r="A54" s="14" t="s">
        <v>85</v>
      </c>
      <c r="B54" s="14" t="s">
        <v>201</v>
      </c>
      <c r="C54" t="s">
        <v>50</v>
      </c>
      <c r="D54" s="14" t="str">
        <f t="shared" si="2"/>
        <v>FIN03</v>
      </c>
      <c r="E54" s="14" t="str">
        <f>VLOOKUP(RAW[[#This Row],[Dept Code]],Table4[#All],2,FALSE)</f>
        <v>Finance</v>
      </c>
      <c r="F54" s="2">
        <v>43745</v>
      </c>
      <c r="G54" s="6">
        <f ca="1">DATEDIF(RAW[[#This Row],[Hire Date]], TODAY(), "Y")</f>
        <v>6</v>
      </c>
      <c r="H54" s="12">
        <v>55920</v>
      </c>
      <c r="I54" s="12" cm="1">
        <f t="array" ref="I54">IF(H54="",MEDIAN(IF(($E$2:$E$151=E54)*($H$2:$H$151&lt;&gt;""),$H$2:$H$151)),H54)</f>
        <v>55920</v>
      </c>
      <c r="J54" s="6">
        <v>84</v>
      </c>
      <c r="K54" s="14" t="str" cm="1">
        <f t="array" ref="K54">_xlfn.IFS(RAW[[#This Row],[Perf_Score]]&gt;=95,"Outstanding",RAW[[#This Row],[Perf_Score]]&gt;=85,"Exceeding",RAW[[#This Row],[Perf_Score]]&gt;=70,"Achieving",RAW[[#This Row],[Perf_Score]]&gt;=50,"Developing",RAW[[#This Row],[Perf_Score]]&lt;=49,"Needs Improvement")</f>
        <v>Achieving</v>
      </c>
      <c r="L54" s="14" t="s">
        <v>29</v>
      </c>
      <c r="M54" s="17">
        <f>IF(OR(RAW[[#This Row],[Employment Status]]="Left",RAW[[#This Row],[Employment Status]]="Resigned" ), 1, 0)</f>
        <v>0</v>
      </c>
      <c r="N54" s="17" t="str" cm="1">
        <f t="array" ref="N54">_xlfn.IFS(RAW[[#This Row],[Left/Resigned Band]]=0,"Active",RAW[[#This Row],[Left/Resigned Band]]=1,"Left")</f>
        <v>Active</v>
      </c>
      <c r="O54" s="22" t="str" cm="1">
        <f t="array" ref="O54">_xlfn.IFS(RAW[[#This Row],[Perf_Score]]&gt;=95,"0.12",RAW[[#This Row],[Perf_Score]]&gt;=85,"0.08",RAW[[#This Row],[Perf_Score]]&gt;=70,"0.05",RAW[[#This Row],[Perf_Score]]&gt;=50,"0.02",RAW[[#This Row],[Perf_Score]]&lt;=49,"0")</f>
        <v>0.05</v>
      </c>
      <c r="P54" s="8">
        <f>RAW[[#This Row],[Salary]]*RAW[[#This Row],[Eligible Bonus Amount]]</f>
        <v>2796</v>
      </c>
    </row>
    <row r="55" spans="1:16" x14ac:dyDescent="0.25">
      <c r="A55" s="14" t="s">
        <v>86</v>
      </c>
      <c r="B55" s="14" t="s">
        <v>192</v>
      </c>
      <c r="C55" t="s">
        <v>28</v>
      </c>
      <c r="D55" s="14" t="str">
        <f t="shared" si="2"/>
        <v>SAL05</v>
      </c>
      <c r="E55" s="14" t="str">
        <f>VLOOKUP(RAW[[#This Row],[Dept Code]],Table4[#All],2,FALSE)</f>
        <v>Sales</v>
      </c>
      <c r="F55" s="2">
        <v>43464</v>
      </c>
      <c r="G55" s="6">
        <f ca="1">DATEDIF(RAW[[#This Row],[Hire Date]], TODAY(), "Y")</f>
        <v>7</v>
      </c>
      <c r="H55" s="12">
        <v>80189</v>
      </c>
      <c r="I55" s="12" cm="1">
        <f t="array" ref="I55">IF(H55="",MEDIAN(IF(($E$2:$E$151=E55)*($H$2:$H$151&lt;&gt;""),$H$2:$H$151)),H55)</f>
        <v>80189</v>
      </c>
      <c r="J55" s="6">
        <v>30</v>
      </c>
      <c r="K55" s="14" t="str" cm="1">
        <f t="array" ref="K55">_xlfn.IFS(RAW[[#This Row],[Perf_Score]]&gt;=95,"Outstanding",RAW[[#This Row],[Perf_Score]]&gt;=85,"Exceeding",RAW[[#This Row],[Perf_Score]]&gt;=70,"Achieving",RAW[[#This Row],[Perf_Score]]&gt;=50,"Developing",RAW[[#This Row],[Perf_Score]]&lt;=49,"Needs Improvement")</f>
        <v>Needs Improvement</v>
      </c>
      <c r="L55" s="14" t="s">
        <v>29</v>
      </c>
      <c r="M55" s="17">
        <f>IF(OR(RAW[[#This Row],[Employment Status]]="Left",RAW[[#This Row],[Employment Status]]="Resigned" ), 1, 0)</f>
        <v>0</v>
      </c>
      <c r="N55" s="17" t="str" cm="1">
        <f t="array" ref="N55">_xlfn.IFS(RAW[[#This Row],[Left/Resigned Band]]=0,"Active",RAW[[#This Row],[Left/Resigned Band]]=1,"Left")</f>
        <v>Active</v>
      </c>
      <c r="O55" s="22" t="str" cm="1">
        <f t="array" ref="O55">_xlfn.IFS(RAW[[#This Row],[Perf_Score]]&gt;=95,"0.12",RAW[[#This Row],[Perf_Score]]&gt;=85,"0.08",RAW[[#This Row],[Perf_Score]]&gt;=70,"0.05",RAW[[#This Row],[Perf_Score]]&gt;=50,"0.02",RAW[[#This Row],[Perf_Score]]&lt;=49,"0")</f>
        <v>0</v>
      </c>
      <c r="P55" s="8">
        <f>RAW[[#This Row],[Salary]]*RAW[[#This Row],[Eligible Bonus Amount]]</f>
        <v>0</v>
      </c>
    </row>
    <row r="56" spans="1:16" x14ac:dyDescent="0.25">
      <c r="A56" s="14" t="s">
        <v>87</v>
      </c>
      <c r="B56" s="14" t="s">
        <v>232</v>
      </c>
      <c r="C56" t="s">
        <v>64</v>
      </c>
      <c r="D56" s="14" t="str">
        <f t="shared" si="2"/>
        <v>HR01</v>
      </c>
      <c r="E56" s="14" t="str">
        <f>VLOOKUP(RAW[[#This Row],[Dept Code]],Table4[#All],2,FALSE)</f>
        <v>Human Resources</v>
      </c>
      <c r="F56" s="2">
        <v>44189</v>
      </c>
      <c r="G56" s="6">
        <f ca="1">DATEDIF(RAW[[#This Row],[Hire Date]], TODAY(), "Y")</f>
        <v>5</v>
      </c>
      <c r="H56" s="12">
        <v>118947</v>
      </c>
      <c r="I56" s="12" cm="1">
        <f t="array" ref="I56">IF(H56="",MEDIAN(IF(($E$2:$E$151=E56)*($H$2:$H$151&lt;&gt;""),$H$2:$H$151)),H56)</f>
        <v>118947</v>
      </c>
      <c r="J56" s="6">
        <v>96</v>
      </c>
      <c r="K56" s="14" t="str" cm="1">
        <f t="array" ref="K56">_xlfn.IFS(RAW[[#This Row],[Perf_Score]]&gt;=95,"Outstanding",RAW[[#This Row],[Perf_Score]]&gt;=85,"Exceeding",RAW[[#This Row],[Perf_Score]]&gt;=70,"Achieving",RAW[[#This Row],[Perf_Score]]&gt;=50,"Developing",RAW[[#This Row],[Perf_Score]]&lt;=49,"Needs Improvement")</f>
        <v>Outstanding</v>
      </c>
      <c r="L56" s="14" t="s">
        <v>29</v>
      </c>
      <c r="M56" s="17">
        <f>IF(OR(RAW[[#This Row],[Employment Status]]="Left",RAW[[#This Row],[Employment Status]]="Resigned" ), 1, 0)</f>
        <v>0</v>
      </c>
      <c r="N56" s="17" t="str" cm="1">
        <f t="array" ref="N56">_xlfn.IFS(RAW[[#This Row],[Left/Resigned Band]]=0,"Active",RAW[[#This Row],[Left/Resigned Band]]=1,"Left")</f>
        <v>Active</v>
      </c>
      <c r="O56" s="22" t="str" cm="1">
        <f t="array" ref="O56">_xlfn.IFS(RAW[[#This Row],[Perf_Score]]&gt;=95,"0.12",RAW[[#This Row],[Perf_Score]]&gt;=85,"0.08",RAW[[#This Row],[Perf_Score]]&gt;=70,"0.05",RAW[[#This Row],[Perf_Score]]&gt;=50,"0.02",RAW[[#This Row],[Perf_Score]]&lt;=49,"0")</f>
        <v>0.12</v>
      </c>
      <c r="P56" s="8">
        <f>RAW[[#This Row],[Salary]]*RAW[[#This Row],[Eligible Bonus Amount]]</f>
        <v>14273.64</v>
      </c>
    </row>
    <row r="57" spans="1:16" x14ac:dyDescent="0.25">
      <c r="A57" t="s">
        <v>88</v>
      </c>
      <c r="B57" t="s">
        <v>233</v>
      </c>
      <c r="C57" t="s">
        <v>8</v>
      </c>
      <c r="D57" t="str">
        <f t="shared" si="2"/>
        <v>IT02</v>
      </c>
      <c r="E57" t="str">
        <f>VLOOKUP(RAW[[#This Row],[Dept Code]],Table4[#All],2,FALSE)</f>
        <v>Information Technology</v>
      </c>
      <c r="F57" s="2">
        <v>45112</v>
      </c>
      <c r="G57" s="6">
        <f ca="1">DATEDIF(RAW[[#This Row],[Hire Date]], TODAY(), "Y")</f>
        <v>3</v>
      </c>
      <c r="I57" s="12" cm="1">
        <f t="array" ref="I57">IF(H57="",MEDIAN(IF(($E$2:$E$151=E57)*($H$2:$H$151&lt;&gt;""),$H$2:$H$151)),H57)</f>
        <v>77819</v>
      </c>
      <c r="J57">
        <v>54</v>
      </c>
      <c r="K57" t="str" cm="1">
        <f t="array" ref="K57">_xlfn.IFS(RAW[[#This Row],[Perf_Score]]&gt;=95,"Outstanding",RAW[[#This Row],[Perf_Score]]&gt;=85,"Exceeding",RAW[[#This Row],[Perf_Score]]&gt;=70,"Achieving",RAW[[#This Row],[Perf_Score]]&gt;=50,"Developing",RAW[[#This Row],[Perf_Score]]&lt;=49,"Needs Improvement")</f>
        <v>Developing</v>
      </c>
      <c r="L57" t="s">
        <v>29</v>
      </c>
      <c r="M57">
        <f>IF(OR(RAW[[#This Row],[Employment Status]]="Left",RAW[[#This Row],[Employment Status]]="Resigned" ), 1, 0)</f>
        <v>0</v>
      </c>
      <c r="N57" t="str" cm="1">
        <f t="array" ref="N57">_xlfn.IFS(RAW[[#This Row],[Left/Resigned Band]]=0,"Active",RAW[[#This Row],[Left/Resigned Band]]=1,"Left")</f>
        <v>Active</v>
      </c>
      <c r="O57" t="str" cm="1">
        <f t="array" ref="O57">_xlfn.IFS(RAW[[#This Row],[Perf_Score]]&gt;=95,"0.12",RAW[[#This Row],[Perf_Score]]&gt;=85,"0.08",RAW[[#This Row],[Perf_Score]]&gt;=70,"0.05",RAW[[#This Row],[Perf_Score]]&gt;=50,"0.02",RAW[[#This Row],[Perf_Score]]&lt;=49,"0")</f>
        <v>0.02</v>
      </c>
      <c r="P57" s="3">
        <f t="shared" si="3"/>
        <v>0</v>
      </c>
    </row>
    <row r="58" spans="1:16" x14ac:dyDescent="0.25">
      <c r="A58" t="s">
        <v>89</v>
      </c>
      <c r="B58" t="s">
        <v>234</v>
      </c>
      <c r="C58" t="s">
        <v>23</v>
      </c>
      <c r="D58" t="str">
        <f t="shared" si="2"/>
        <v>OPS06</v>
      </c>
      <c r="E58" t="str">
        <f>VLOOKUP(RAW[[#This Row],[Dept Code]],Table4[#All],2,FALSE)</f>
        <v>Operations</v>
      </c>
      <c r="F58" s="2">
        <v>44148</v>
      </c>
      <c r="G58" s="6">
        <f ca="1">DATEDIF(RAW[[#This Row],[Hire Date]], TODAY(), "Y")</f>
        <v>5</v>
      </c>
      <c r="I58" s="12" cm="1">
        <f t="array" ref="I58">IF(H58="",MEDIAN(IF(($E$2:$E$151=E58)*($H$2:$H$151&lt;&gt;""),$H$2:$H$151)),H58)</f>
        <v>68728</v>
      </c>
      <c r="J58">
        <v>75</v>
      </c>
      <c r="K58" t="str" cm="1">
        <f t="array" ref="K58">_xlfn.IFS(RAW[[#This Row],[Perf_Score]]&gt;=95,"Outstanding",RAW[[#This Row],[Perf_Score]]&gt;=85,"Exceeding",RAW[[#This Row],[Perf_Score]]&gt;=70,"Achieving",RAW[[#This Row],[Perf_Score]]&gt;=50,"Developing",RAW[[#This Row],[Perf_Score]]&lt;=49,"Needs Improvement")</f>
        <v>Achieving</v>
      </c>
      <c r="L58" t="s">
        <v>29</v>
      </c>
      <c r="M58">
        <f>IF(OR(RAW[[#This Row],[Employment Status]]="Left",RAW[[#This Row],[Employment Status]]="Resigned" ), 1, 0)</f>
        <v>0</v>
      </c>
      <c r="N58" t="str" cm="1">
        <f t="array" ref="N58">_xlfn.IFS(RAW[[#This Row],[Left/Resigned Band]]=0,"Active",RAW[[#This Row],[Left/Resigned Band]]=1,"Left")</f>
        <v>Active</v>
      </c>
      <c r="O58" t="str" cm="1">
        <f t="array" ref="O58">_xlfn.IFS(RAW[[#This Row],[Perf_Score]]&gt;=95,"0.12",RAW[[#This Row],[Perf_Score]]&gt;=85,"0.08",RAW[[#This Row],[Perf_Score]]&gt;=70,"0.05",RAW[[#This Row],[Perf_Score]]&gt;=50,"0.02",RAW[[#This Row],[Perf_Score]]&lt;=49,"0")</f>
        <v>0.05</v>
      </c>
      <c r="P58" s="3">
        <f t="shared" si="3"/>
        <v>0</v>
      </c>
    </row>
    <row r="59" spans="1:16" x14ac:dyDescent="0.25">
      <c r="A59" s="14" t="s">
        <v>90</v>
      </c>
      <c r="B59" s="14" t="s">
        <v>235</v>
      </c>
      <c r="C59" t="s">
        <v>91</v>
      </c>
      <c r="D59" s="14" t="str">
        <f t="shared" si="2"/>
        <v>HR01</v>
      </c>
      <c r="E59" s="14" t="str">
        <f>VLOOKUP(RAW[[#This Row],[Dept Code]],Table4[#All],2,FALSE)</f>
        <v>Human Resources</v>
      </c>
      <c r="F59" s="2">
        <v>43138</v>
      </c>
      <c r="G59" s="6">
        <f ca="1">DATEDIF(RAW[[#This Row],[Hire Date]], TODAY(), "Y")</f>
        <v>8</v>
      </c>
      <c r="H59" s="12">
        <v>91655</v>
      </c>
      <c r="I59" s="12" cm="1">
        <f t="array" ref="I59">IF(H59="",MEDIAN(IF(($E$2:$E$151=E59)*($H$2:$H$151&lt;&gt;""),$H$2:$H$151)),H59)</f>
        <v>91655</v>
      </c>
      <c r="J59" s="6">
        <v>95</v>
      </c>
      <c r="K59" s="14" t="str" cm="1">
        <f t="array" ref="K59">_xlfn.IFS(RAW[[#This Row],[Perf_Score]]&gt;=95,"Outstanding",RAW[[#This Row],[Perf_Score]]&gt;=85,"Exceeding",RAW[[#This Row],[Perf_Score]]&gt;=70,"Achieving",RAW[[#This Row],[Perf_Score]]&gt;=50,"Developing",RAW[[#This Row],[Perf_Score]]&lt;=49,"Needs Improvement")</f>
        <v>Outstanding</v>
      </c>
      <c r="L59" s="14" t="s">
        <v>29</v>
      </c>
      <c r="M59" s="17">
        <f>IF(OR(RAW[[#This Row],[Employment Status]]="Left",RAW[[#This Row],[Employment Status]]="Resigned" ), 1, 0)</f>
        <v>0</v>
      </c>
      <c r="N59" s="17" t="str" cm="1">
        <f t="array" ref="N59">_xlfn.IFS(RAW[[#This Row],[Left/Resigned Band]]=0,"Active",RAW[[#This Row],[Left/Resigned Band]]=1,"Left")</f>
        <v>Active</v>
      </c>
      <c r="O59" s="22" t="str" cm="1">
        <f t="array" ref="O59">_xlfn.IFS(RAW[[#This Row],[Perf_Score]]&gt;=95,"0.12",RAW[[#This Row],[Perf_Score]]&gt;=85,"0.08",RAW[[#This Row],[Perf_Score]]&gt;=70,"0.05",RAW[[#This Row],[Perf_Score]]&gt;=50,"0.02",RAW[[#This Row],[Perf_Score]]&lt;=49,"0")</f>
        <v>0.12</v>
      </c>
      <c r="P59" s="8">
        <f>RAW[[#This Row],[Salary]]*RAW[[#This Row],[Eligible Bonus Amount]]</f>
        <v>10998.6</v>
      </c>
    </row>
    <row r="60" spans="1:16" hidden="1" x14ac:dyDescent="0.25">
      <c r="A60" t="s">
        <v>92</v>
      </c>
      <c r="B60" t="s">
        <v>187</v>
      </c>
      <c r="C60" t="s">
        <v>8</v>
      </c>
      <c r="D60" t="str">
        <f t="shared" si="2"/>
        <v>IT02</v>
      </c>
      <c r="E60" t="str">
        <f>VLOOKUP(RAW[[#This Row],[Dept Code]],Table4[#All],2,FALSE)</f>
        <v>Information Technology</v>
      </c>
      <c r="F60" s="2">
        <v>45255</v>
      </c>
      <c r="G60" s="6">
        <f ca="1">DATEDIF(RAW[[#This Row],[Hire Date]], TODAY(), "Y")</f>
        <v>2</v>
      </c>
      <c r="H60" s="12">
        <v>49435</v>
      </c>
      <c r="I60" s="12" cm="1">
        <f t="array" ref="I60">IF(H60="",MEDIAN(IF(($E$2:$E$151=E60)*($H$2:$H$151&lt;&gt;""),$H$2:$H$151)),H60)</f>
        <v>49435</v>
      </c>
      <c r="J60"/>
      <c r="K60" t="str" cm="1">
        <f t="array" ref="K60">_xlfn.IFS(RAW[[#This Row],[Perf_Score]]&gt;=95,"Outstanding",RAW[[#This Row],[Perf_Score]]&gt;=85,"Exceeding",RAW[[#This Row],[Perf_Score]]&gt;=70,"Achieving",RAW[[#This Row],[Perf_Score]]&gt;=50,"Developing",RAW[[#This Row],[Perf_Score]]&lt;=49,"Needs Improvement")</f>
        <v>Needs Improvement</v>
      </c>
      <c r="L60" t="s">
        <v>70</v>
      </c>
      <c r="M60">
        <f>IF(OR(RAW[[#This Row],[Employment Status]]="Left",RAW[[#This Row],[Employment Status]]="Resigned" ), 1, 0)</f>
        <v>1</v>
      </c>
      <c r="N60" t="str" cm="1">
        <f t="array" ref="N60">_xlfn.IFS(RAW[[#This Row],[Left/Resigned Band]]=0,"Active",RAW[[#This Row],[Left/Resigned Band]]=1,"Left")</f>
        <v>Left</v>
      </c>
      <c r="O60" t="str" cm="1">
        <f t="array" ref="O60">_xlfn.IFS(RAW[[#This Row],[Perf_Score]]&gt;=95,"0.12",RAW[[#This Row],[Perf_Score]]&gt;=85,"0.08",RAW[[#This Row],[Perf_Score]]&gt;=70,"0.05",RAW[[#This Row],[Perf_Score]]&gt;=50,"0.02",RAW[[#This Row],[Perf_Score]]&lt;=49,"0")</f>
        <v>0</v>
      </c>
      <c r="P60" s="3">
        <f t="shared" si="3"/>
        <v>0</v>
      </c>
    </row>
    <row r="61" spans="1:16" x14ac:dyDescent="0.25">
      <c r="A61" s="14" t="s">
        <v>93</v>
      </c>
      <c r="B61" s="14" t="s">
        <v>220</v>
      </c>
      <c r="C61" t="s">
        <v>31</v>
      </c>
      <c r="D61" s="14" t="str">
        <f t="shared" si="2"/>
        <v>SAL05</v>
      </c>
      <c r="E61" s="14" t="str">
        <f>VLOOKUP(RAW[[#This Row],[Dept Code]],Table4[#All],2,FALSE)</f>
        <v>Sales</v>
      </c>
      <c r="F61" s="2">
        <v>45217</v>
      </c>
      <c r="G61" s="6">
        <f ca="1">DATEDIF(RAW[[#This Row],[Hire Date]], TODAY(), "Y")</f>
        <v>2</v>
      </c>
      <c r="H61" s="12">
        <v>110381</v>
      </c>
      <c r="I61" s="12" cm="1">
        <f t="array" ref="I61">IF(H61="",MEDIAN(IF(($E$2:$E$151=E61)*($H$2:$H$151&lt;&gt;""),$H$2:$H$151)),H61)</f>
        <v>110381</v>
      </c>
      <c r="J61" s="6">
        <v>93</v>
      </c>
      <c r="K61" s="14" t="str" cm="1">
        <f t="array" ref="K61">_xlfn.IFS(RAW[[#This Row],[Perf_Score]]&gt;=95,"Outstanding",RAW[[#This Row],[Perf_Score]]&gt;=85,"Exceeding",RAW[[#This Row],[Perf_Score]]&gt;=70,"Achieving",RAW[[#This Row],[Perf_Score]]&gt;=50,"Developing",RAW[[#This Row],[Perf_Score]]&lt;=49,"Needs Improvement")</f>
        <v>Exceeding</v>
      </c>
      <c r="L61" s="14" t="s">
        <v>29</v>
      </c>
      <c r="M61" s="17">
        <f>IF(OR(RAW[[#This Row],[Employment Status]]="Left",RAW[[#This Row],[Employment Status]]="Resigned" ), 1, 0)</f>
        <v>0</v>
      </c>
      <c r="N61" s="17" t="str" cm="1">
        <f t="array" ref="N61">_xlfn.IFS(RAW[[#This Row],[Left/Resigned Band]]=0,"Active",RAW[[#This Row],[Left/Resigned Band]]=1,"Left")</f>
        <v>Active</v>
      </c>
      <c r="O61" s="22" t="str" cm="1">
        <f t="array" ref="O61">_xlfn.IFS(RAW[[#This Row],[Perf_Score]]&gt;=95,"0.12",RAW[[#This Row],[Perf_Score]]&gt;=85,"0.08",RAW[[#This Row],[Perf_Score]]&gt;=70,"0.05",RAW[[#This Row],[Perf_Score]]&gt;=50,"0.02",RAW[[#This Row],[Perf_Score]]&lt;=49,"0")</f>
        <v>0.08</v>
      </c>
      <c r="P61" s="8">
        <f>RAW[[#This Row],[Salary]]*RAW[[#This Row],[Eligible Bonus Amount]]</f>
        <v>8830.48</v>
      </c>
    </row>
    <row r="62" spans="1:16" x14ac:dyDescent="0.25">
      <c r="A62" s="14" t="s">
        <v>94</v>
      </c>
      <c r="B62" s="14" t="s">
        <v>236</v>
      </c>
      <c r="C62" t="s">
        <v>64</v>
      </c>
      <c r="D62" s="14" t="str">
        <f t="shared" si="2"/>
        <v>HR01</v>
      </c>
      <c r="E62" s="14" t="str">
        <f>VLOOKUP(RAW[[#This Row],[Dept Code]],Table4[#All],2,FALSE)</f>
        <v>Human Resources</v>
      </c>
      <c r="F62" s="2">
        <v>44079</v>
      </c>
      <c r="G62" s="6">
        <f ca="1">DATEDIF(RAW[[#This Row],[Hire Date]], TODAY(), "Y")</f>
        <v>5</v>
      </c>
      <c r="H62" s="12">
        <v>114748</v>
      </c>
      <c r="I62" s="12" cm="1">
        <f t="array" ref="I62">IF(H62="",MEDIAN(IF(($E$2:$E$151=E62)*($H$2:$H$151&lt;&gt;""),$H$2:$H$151)),H62)</f>
        <v>114748</v>
      </c>
      <c r="J62" s="6">
        <v>33</v>
      </c>
      <c r="K62" s="14" t="str" cm="1">
        <f t="array" ref="K62">_xlfn.IFS(RAW[[#This Row],[Perf_Score]]&gt;=95,"Outstanding",RAW[[#This Row],[Perf_Score]]&gt;=85,"Exceeding",RAW[[#This Row],[Perf_Score]]&gt;=70,"Achieving",RAW[[#This Row],[Perf_Score]]&gt;=50,"Developing",RAW[[#This Row],[Perf_Score]]&lt;=49,"Needs Improvement")</f>
        <v>Needs Improvement</v>
      </c>
      <c r="L62" s="14" t="s">
        <v>29</v>
      </c>
      <c r="M62" s="17">
        <f>IF(OR(RAW[[#This Row],[Employment Status]]="Left",RAW[[#This Row],[Employment Status]]="Resigned" ), 1, 0)</f>
        <v>0</v>
      </c>
      <c r="N62" s="17" t="str" cm="1">
        <f t="array" ref="N62">_xlfn.IFS(RAW[[#This Row],[Left/Resigned Band]]=0,"Active",RAW[[#This Row],[Left/Resigned Band]]=1,"Left")</f>
        <v>Active</v>
      </c>
      <c r="O62" s="22" t="str" cm="1">
        <f t="array" ref="O62">_xlfn.IFS(RAW[[#This Row],[Perf_Score]]&gt;=95,"0.12",RAW[[#This Row],[Perf_Score]]&gt;=85,"0.08",RAW[[#This Row],[Perf_Score]]&gt;=70,"0.05",RAW[[#This Row],[Perf_Score]]&gt;=50,"0.02",RAW[[#This Row],[Perf_Score]]&lt;=49,"0")</f>
        <v>0</v>
      </c>
      <c r="P62" s="8">
        <f>RAW[[#This Row],[Salary]]*RAW[[#This Row],[Eligible Bonus Amount]]</f>
        <v>0</v>
      </c>
    </row>
    <row r="63" spans="1:16" x14ac:dyDescent="0.25">
      <c r="A63" s="14" t="s">
        <v>95</v>
      </c>
      <c r="B63" s="14" t="s">
        <v>237</v>
      </c>
      <c r="C63" t="s">
        <v>21</v>
      </c>
      <c r="D63" s="14" t="str">
        <f t="shared" si="2"/>
        <v>OPS06</v>
      </c>
      <c r="E63" s="14" t="str">
        <f>VLOOKUP(RAW[[#This Row],[Dept Code]],Table4[#All],2,FALSE)</f>
        <v>Operations</v>
      </c>
      <c r="F63" s="2">
        <v>42800</v>
      </c>
      <c r="G63" s="6">
        <f ca="1">DATEDIF(RAW[[#This Row],[Hire Date]], TODAY(), "Y")</f>
        <v>9</v>
      </c>
      <c r="H63" s="12">
        <v>63302</v>
      </c>
      <c r="I63" s="12" cm="1">
        <f t="array" ref="I63">IF(H63="",MEDIAN(IF(($E$2:$E$151=E63)*($H$2:$H$151&lt;&gt;""),$H$2:$H$151)),H63)</f>
        <v>63302</v>
      </c>
      <c r="J63" s="6">
        <v>91</v>
      </c>
      <c r="K63" s="14" t="str" cm="1">
        <f t="array" ref="K63">_xlfn.IFS(RAW[[#This Row],[Perf_Score]]&gt;=95,"Outstanding",RAW[[#This Row],[Perf_Score]]&gt;=85,"Exceeding",RAW[[#This Row],[Perf_Score]]&gt;=70,"Achieving",RAW[[#This Row],[Perf_Score]]&gt;=50,"Developing",RAW[[#This Row],[Perf_Score]]&lt;=49,"Needs Improvement")</f>
        <v>Exceeding</v>
      </c>
      <c r="L63" s="14" t="s">
        <v>29</v>
      </c>
      <c r="M63" s="17">
        <f>IF(OR(RAW[[#This Row],[Employment Status]]="Left",RAW[[#This Row],[Employment Status]]="Resigned" ), 1, 0)</f>
        <v>0</v>
      </c>
      <c r="N63" s="17" t="str" cm="1">
        <f t="array" ref="N63">_xlfn.IFS(RAW[[#This Row],[Left/Resigned Band]]=0,"Active",RAW[[#This Row],[Left/Resigned Band]]=1,"Left")</f>
        <v>Active</v>
      </c>
      <c r="O63" s="22" t="str" cm="1">
        <f t="array" ref="O63">_xlfn.IFS(RAW[[#This Row],[Perf_Score]]&gt;=95,"0.12",RAW[[#This Row],[Perf_Score]]&gt;=85,"0.08",RAW[[#This Row],[Perf_Score]]&gt;=70,"0.05",RAW[[#This Row],[Perf_Score]]&gt;=50,"0.02",RAW[[#This Row],[Perf_Score]]&lt;=49,"0")</f>
        <v>0.08</v>
      </c>
      <c r="P63" s="8">
        <f>RAW[[#This Row],[Salary]]*RAW[[#This Row],[Eligible Bonus Amount]]</f>
        <v>5064.16</v>
      </c>
    </row>
    <row r="64" spans="1:16" x14ac:dyDescent="0.25">
      <c r="A64" s="14" t="s">
        <v>96</v>
      </c>
      <c r="B64" s="14" t="s">
        <v>238</v>
      </c>
      <c r="C64" t="s">
        <v>56</v>
      </c>
      <c r="D64" s="14" t="str">
        <f t="shared" si="2"/>
        <v>IT02</v>
      </c>
      <c r="E64" s="14" t="str">
        <f>VLOOKUP(RAW[[#This Row],[Dept Code]],Table4[#All],2,FALSE)</f>
        <v>Information Technology</v>
      </c>
      <c r="F64" s="2">
        <v>42122</v>
      </c>
      <c r="G64" s="6">
        <f ca="1">DATEDIF(RAW[[#This Row],[Hire Date]], TODAY(), "Y")</f>
        <v>11</v>
      </c>
      <c r="H64" s="12">
        <v>75519</v>
      </c>
      <c r="I64" s="12" cm="1">
        <f t="array" ref="I64">IF(H64="",MEDIAN(IF(($E$2:$E$151=E64)*($H$2:$H$151&lt;&gt;""),$H$2:$H$151)),H64)</f>
        <v>75519</v>
      </c>
      <c r="J64" s="6">
        <v>64</v>
      </c>
      <c r="K64" s="14" t="str" cm="1">
        <f t="array" ref="K64">_xlfn.IFS(RAW[[#This Row],[Perf_Score]]&gt;=95,"Outstanding",RAW[[#This Row],[Perf_Score]]&gt;=85,"Exceeding",RAW[[#This Row],[Perf_Score]]&gt;=70,"Achieving",RAW[[#This Row],[Perf_Score]]&gt;=50,"Developing",RAW[[#This Row],[Perf_Score]]&lt;=49,"Needs Improvement")</f>
        <v>Developing</v>
      </c>
      <c r="L64" s="14" t="s">
        <v>29</v>
      </c>
      <c r="M64" s="17">
        <f>IF(OR(RAW[[#This Row],[Employment Status]]="Left",RAW[[#This Row],[Employment Status]]="Resigned" ), 1, 0)</f>
        <v>0</v>
      </c>
      <c r="N64" s="17" t="str" cm="1">
        <f t="array" ref="N64">_xlfn.IFS(RAW[[#This Row],[Left/Resigned Band]]=0,"Active",RAW[[#This Row],[Left/Resigned Band]]=1,"Left")</f>
        <v>Active</v>
      </c>
      <c r="O64" s="22" t="str" cm="1">
        <f t="array" ref="O64">_xlfn.IFS(RAW[[#This Row],[Perf_Score]]&gt;=95,"0.12",RAW[[#This Row],[Perf_Score]]&gt;=85,"0.08",RAW[[#This Row],[Perf_Score]]&gt;=70,"0.05",RAW[[#This Row],[Perf_Score]]&gt;=50,"0.02",RAW[[#This Row],[Perf_Score]]&lt;=49,"0")</f>
        <v>0.02</v>
      </c>
      <c r="P64" s="8">
        <f>RAW[[#This Row],[Salary]]*RAW[[#This Row],[Eligible Bonus Amount]]</f>
        <v>1510.38</v>
      </c>
    </row>
    <row r="65" spans="1:16" x14ac:dyDescent="0.25">
      <c r="A65" s="14" t="s">
        <v>97</v>
      </c>
      <c r="B65" s="14" t="s">
        <v>230</v>
      </c>
      <c r="C65" t="s">
        <v>50</v>
      </c>
      <c r="D65" s="14" t="str">
        <f t="shared" si="2"/>
        <v>FIN03</v>
      </c>
      <c r="E65" s="14" t="str">
        <f>VLOOKUP(RAW[[#This Row],[Dept Code]],Table4[#All],2,FALSE)</f>
        <v>Finance</v>
      </c>
      <c r="F65" s="2">
        <v>42838</v>
      </c>
      <c r="G65" s="6">
        <f ca="1">DATEDIF(RAW[[#This Row],[Hire Date]], TODAY(), "Y")</f>
        <v>9</v>
      </c>
      <c r="H65" s="12">
        <v>103891</v>
      </c>
      <c r="I65" s="12" cm="1">
        <f t="array" ref="I65">IF(H65="",MEDIAN(IF(($E$2:$E$151=E65)*($H$2:$H$151&lt;&gt;""),$H$2:$H$151)),H65)</f>
        <v>103891</v>
      </c>
      <c r="J65" s="6">
        <v>80</v>
      </c>
      <c r="K65" s="14" t="str" cm="1">
        <f t="array" ref="K65">_xlfn.IFS(RAW[[#This Row],[Perf_Score]]&gt;=95,"Outstanding",RAW[[#This Row],[Perf_Score]]&gt;=85,"Exceeding",RAW[[#This Row],[Perf_Score]]&gt;=70,"Achieving",RAW[[#This Row],[Perf_Score]]&gt;=50,"Developing",RAW[[#This Row],[Perf_Score]]&lt;=49,"Needs Improvement")</f>
        <v>Achieving</v>
      </c>
      <c r="L65" s="14" t="s">
        <v>29</v>
      </c>
      <c r="M65" s="17">
        <f>IF(OR(RAW[[#This Row],[Employment Status]]="Left",RAW[[#This Row],[Employment Status]]="Resigned" ), 1, 0)</f>
        <v>0</v>
      </c>
      <c r="N65" s="17" t="str" cm="1">
        <f t="array" ref="N65">_xlfn.IFS(RAW[[#This Row],[Left/Resigned Band]]=0,"Active",RAW[[#This Row],[Left/Resigned Band]]=1,"Left")</f>
        <v>Active</v>
      </c>
      <c r="O65" s="22" t="str" cm="1">
        <f t="array" ref="O65">_xlfn.IFS(RAW[[#This Row],[Perf_Score]]&gt;=95,"0.12",RAW[[#This Row],[Perf_Score]]&gt;=85,"0.08",RAW[[#This Row],[Perf_Score]]&gt;=70,"0.05",RAW[[#This Row],[Perf_Score]]&gt;=50,"0.02",RAW[[#This Row],[Perf_Score]]&lt;=49,"0")</f>
        <v>0.05</v>
      </c>
      <c r="P65" s="8">
        <f>RAW[[#This Row],[Salary]]*RAW[[#This Row],[Eligible Bonus Amount]]</f>
        <v>5194.55</v>
      </c>
    </row>
    <row r="66" spans="1:16" x14ac:dyDescent="0.25">
      <c r="A66" t="s">
        <v>98</v>
      </c>
      <c r="B66" t="s">
        <v>239</v>
      </c>
      <c r="C66" t="s">
        <v>21</v>
      </c>
      <c r="D66" t="str">
        <f t="shared" ref="D66:D97" si="4">UPPER(TRIM(C66))</f>
        <v>OPS06</v>
      </c>
      <c r="E66" t="str">
        <f>VLOOKUP(RAW[[#This Row],[Dept Code]],Table4[#All],2,FALSE)</f>
        <v>Operations</v>
      </c>
      <c r="F66" s="2">
        <v>44827</v>
      </c>
      <c r="G66" s="6">
        <f ca="1">DATEDIF(RAW[[#This Row],[Hire Date]], TODAY(), "Y")</f>
        <v>3</v>
      </c>
      <c r="I66" s="12" cm="1">
        <f t="array" ref="I66">IF(H66="",MEDIAN(IF(($E$2:$E$151=E66)*($H$2:$H$151&lt;&gt;""),$H$2:$H$151)),H66)</f>
        <v>68728</v>
      </c>
      <c r="J66">
        <v>46</v>
      </c>
      <c r="K66" t="str" cm="1">
        <f t="array" ref="K66">_xlfn.IFS(RAW[[#This Row],[Perf_Score]]&gt;=95,"Outstanding",RAW[[#This Row],[Perf_Score]]&gt;=85,"Exceeding",RAW[[#This Row],[Perf_Score]]&gt;=70,"Achieving",RAW[[#This Row],[Perf_Score]]&gt;=50,"Developing",RAW[[#This Row],[Perf_Score]]&lt;=49,"Needs Improvement")</f>
        <v>Needs Improvement</v>
      </c>
      <c r="L66" t="s">
        <v>331</v>
      </c>
      <c r="M66">
        <f>IF(OR(RAW[[#This Row],[Employment Status]]="Left",RAW[[#This Row],[Employment Status]]="Resigned" ), 1, 0)</f>
        <v>0</v>
      </c>
      <c r="N66" t="str" cm="1">
        <f t="array" ref="N66">_xlfn.IFS(RAW[[#This Row],[Left/Resigned Band]]=0,"Active",RAW[[#This Row],[Left/Resigned Band]]=1,"Left")</f>
        <v>Active</v>
      </c>
      <c r="O66" t="str" cm="1">
        <f t="array" ref="O66">_xlfn.IFS(RAW[[#This Row],[Perf_Score]]&gt;=95,"0.12",RAW[[#This Row],[Perf_Score]]&gt;=85,"0.08",RAW[[#This Row],[Perf_Score]]&gt;=70,"0.05",RAW[[#This Row],[Perf_Score]]&gt;=50,"0.02",RAW[[#This Row],[Perf_Score]]&lt;=49,"0")</f>
        <v>0</v>
      </c>
      <c r="P66" s="3">
        <f t="shared" ref="P66:P85" si="5">SUM(O:O)</f>
        <v>0</v>
      </c>
    </row>
    <row r="67" spans="1:16" x14ac:dyDescent="0.25">
      <c r="A67" s="14" t="s">
        <v>99</v>
      </c>
      <c r="B67" s="14" t="s">
        <v>240</v>
      </c>
      <c r="C67" t="s">
        <v>40</v>
      </c>
      <c r="D67" s="14" t="str">
        <f t="shared" si="4"/>
        <v>MKT04</v>
      </c>
      <c r="E67" s="14" t="str">
        <f>VLOOKUP(RAW[[#This Row],[Dept Code]],Table4[#All],2,FALSE)</f>
        <v>Marketing</v>
      </c>
      <c r="F67" s="2">
        <v>42685</v>
      </c>
      <c r="G67" s="6">
        <f ca="1">DATEDIF(RAW[[#This Row],[Hire Date]], TODAY(), "Y")</f>
        <v>9</v>
      </c>
      <c r="H67" s="12">
        <v>50936</v>
      </c>
      <c r="I67" s="12" cm="1">
        <f t="array" ref="I67">IF(H67="",MEDIAN(IF(($E$2:$E$151=E67)*($H$2:$H$151&lt;&gt;""),$H$2:$H$151)),H67)</f>
        <v>50936</v>
      </c>
      <c r="J67" s="6">
        <v>99</v>
      </c>
      <c r="K67" s="14" t="str" cm="1">
        <f t="array" ref="K67">_xlfn.IFS(RAW[[#This Row],[Perf_Score]]&gt;=95,"Outstanding",RAW[[#This Row],[Perf_Score]]&gt;=85,"Exceeding",RAW[[#This Row],[Perf_Score]]&gt;=70,"Achieving",RAW[[#This Row],[Perf_Score]]&gt;=50,"Developing",RAW[[#This Row],[Perf_Score]]&lt;=49,"Needs Improvement")</f>
        <v>Outstanding</v>
      </c>
      <c r="L67" s="14" t="s">
        <v>29</v>
      </c>
      <c r="M67" s="17">
        <f>IF(OR(RAW[[#This Row],[Employment Status]]="Left",RAW[[#This Row],[Employment Status]]="Resigned" ), 1, 0)</f>
        <v>0</v>
      </c>
      <c r="N67" s="17" t="str" cm="1">
        <f t="array" ref="N67">_xlfn.IFS(RAW[[#This Row],[Left/Resigned Band]]=0,"Active",RAW[[#This Row],[Left/Resigned Band]]=1,"Left")</f>
        <v>Active</v>
      </c>
      <c r="O67" s="22" t="str" cm="1">
        <f t="array" ref="O67">_xlfn.IFS(RAW[[#This Row],[Perf_Score]]&gt;=95,"0.12",RAW[[#This Row],[Perf_Score]]&gt;=85,"0.08",RAW[[#This Row],[Perf_Score]]&gt;=70,"0.05",RAW[[#This Row],[Perf_Score]]&gt;=50,"0.02",RAW[[#This Row],[Perf_Score]]&lt;=49,"0")</f>
        <v>0.12</v>
      </c>
      <c r="P67" s="8">
        <f>RAW[[#This Row],[Salary]]*RAW[[#This Row],[Eligible Bonus Amount]]</f>
        <v>6112.32</v>
      </c>
    </row>
    <row r="68" spans="1:16" hidden="1" x14ac:dyDescent="0.25">
      <c r="A68" t="s">
        <v>100</v>
      </c>
      <c r="B68" t="s">
        <v>241</v>
      </c>
      <c r="C68" t="s">
        <v>53</v>
      </c>
      <c r="D68" t="str">
        <f t="shared" si="4"/>
        <v>SAL05</v>
      </c>
      <c r="E68" t="str">
        <f>VLOOKUP(RAW[[#This Row],[Dept Code]],Table4[#All],2,FALSE)</f>
        <v>Sales</v>
      </c>
      <c r="F68" s="2">
        <v>42818</v>
      </c>
      <c r="G68" s="6">
        <f ca="1">DATEDIF(RAW[[#This Row],[Hire Date]], TODAY(), "Y")</f>
        <v>9</v>
      </c>
      <c r="H68" s="12">
        <v>111240</v>
      </c>
      <c r="I68" s="12" cm="1">
        <f t="array" ref="I68">IF(H68="",MEDIAN(IF(($E$2:$E$151=E68)*($H$2:$H$151&lt;&gt;""),$H$2:$H$151)),H68)</f>
        <v>111240</v>
      </c>
      <c r="J68"/>
      <c r="K68" t="str" cm="1">
        <f t="array" ref="K68">_xlfn.IFS(RAW[[#This Row],[Perf_Score]]&gt;=95,"Outstanding",RAW[[#This Row],[Perf_Score]]&gt;=85,"Exceeding",RAW[[#This Row],[Perf_Score]]&gt;=70,"Achieving",RAW[[#This Row],[Perf_Score]]&gt;=50,"Developing",RAW[[#This Row],[Perf_Score]]&lt;=49,"Needs Improvement")</f>
        <v>Needs Improvement</v>
      </c>
      <c r="L68" t="s">
        <v>33</v>
      </c>
      <c r="M68">
        <f>IF(OR(RAW[[#This Row],[Employment Status]]="Left",RAW[[#This Row],[Employment Status]]="Resigned" ), 1, 0)</f>
        <v>0</v>
      </c>
      <c r="N68" t="str" cm="1">
        <f t="array" ref="N68">_xlfn.IFS(RAW[[#This Row],[Left/Resigned Band]]=0,"Active",RAW[[#This Row],[Left/Resigned Band]]=1,"Left")</f>
        <v>Active</v>
      </c>
      <c r="O68" t="str" cm="1">
        <f t="array" ref="O68">_xlfn.IFS(RAW[[#This Row],[Perf_Score]]&gt;=95,"0.12",RAW[[#This Row],[Perf_Score]]&gt;=85,"0.08",RAW[[#This Row],[Perf_Score]]&gt;=70,"0.05",RAW[[#This Row],[Perf_Score]]&gt;=50,"0.02",RAW[[#This Row],[Perf_Score]]&lt;=49,"0")</f>
        <v>0</v>
      </c>
      <c r="P68" s="3">
        <f t="shared" si="5"/>
        <v>0</v>
      </c>
    </row>
    <row r="69" spans="1:16" x14ac:dyDescent="0.25">
      <c r="A69" s="14" t="s">
        <v>101</v>
      </c>
      <c r="B69" s="14" t="s">
        <v>242</v>
      </c>
      <c r="C69" t="s">
        <v>64</v>
      </c>
      <c r="D69" s="14" t="str">
        <f t="shared" si="4"/>
        <v>HR01</v>
      </c>
      <c r="E69" s="14" t="str">
        <f>VLOOKUP(RAW[[#This Row],[Dept Code]],Table4[#All],2,FALSE)</f>
        <v>Human Resources</v>
      </c>
      <c r="F69" s="2">
        <v>43590</v>
      </c>
      <c r="G69" s="6">
        <f ca="1">DATEDIF(RAW[[#This Row],[Hire Date]], TODAY(), "Y")</f>
        <v>7</v>
      </c>
      <c r="H69" s="12">
        <v>51567</v>
      </c>
      <c r="I69" s="12" cm="1">
        <f t="array" ref="I69">IF(H69="",MEDIAN(IF(($E$2:$E$151=E69)*($H$2:$H$151&lt;&gt;""),$H$2:$H$151)),H69)</f>
        <v>51567</v>
      </c>
      <c r="J69" s="6">
        <v>87</v>
      </c>
      <c r="K69" s="14" t="str" cm="1">
        <f t="array" ref="K69">_xlfn.IFS(RAW[[#This Row],[Perf_Score]]&gt;=95,"Outstanding",RAW[[#This Row],[Perf_Score]]&gt;=85,"Exceeding",RAW[[#This Row],[Perf_Score]]&gt;=70,"Achieving",RAW[[#This Row],[Perf_Score]]&gt;=50,"Developing",RAW[[#This Row],[Perf_Score]]&lt;=49,"Needs Improvement")</f>
        <v>Exceeding</v>
      </c>
      <c r="L69" s="14" t="s">
        <v>75</v>
      </c>
      <c r="M69" s="17">
        <f>IF(OR(RAW[[#This Row],[Employment Status]]="Left",RAW[[#This Row],[Employment Status]]="Resigned" ), 1, 0)</f>
        <v>1</v>
      </c>
      <c r="N69" s="17" t="str" cm="1">
        <f t="array" ref="N69">_xlfn.IFS(RAW[[#This Row],[Left/Resigned Band]]=0,"Active",RAW[[#This Row],[Left/Resigned Band]]=1,"Left")</f>
        <v>Left</v>
      </c>
      <c r="O69" s="22" t="str" cm="1">
        <f t="array" ref="O69">_xlfn.IFS(RAW[[#This Row],[Perf_Score]]&gt;=95,"0.12",RAW[[#This Row],[Perf_Score]]&gt;=85,"0.08",RAW[[#This Row],[Perf_Score]]&gt;=70,"0.05",RAW[[#This Row],[Perf_Score]]&gt;=50,"0.02",RAW[[#This Row],[Perf_Score]]&lt;=49,"0")</f>
        <v>0.08</v>
      </c>
      <c r="P69" s="8">
        <f>RAW[[#This Row],[Salary]]*RAW[[#This Row],[Eligible Bonus Amount]]</f>
        <v>4125.3599999999997</v>
      </c>
    </row>
    <row r="70" spans="1:16" x14ac:dyDescent="0.25">
      <c r="A70" t="s">
        <v>102</v>
      </c>
      <c r="B70" t="s">
        <v>243</v>
      </c>
      <c r="C70" t="s">
        <v>103</v>
      </c>
      <c r="D70" t="str">
        <f t="shared" si="4"/>
        <v>HR01</v>
      </c>
      <c r="E70" t="str">
        <f>VLOOKUP(RAW[[#This Row],[Dept Code]],Table4[#All],2,FALSE)</f>
        <v>Human Resources</v>
      </c>
      <c r="F70" s="2">
        <v>44402</v>
      </c>
      <c r="G70" s="6">
        <f ca="1">DATEDIF(RAW[[#This Row],[Hire Date]], TODAY(), "Y")</f>
        <v>4</v>
      </c>
      <c r="I70" s="12" cm="1">
        <f t="array" ref="I70">IF(H70="",MEDIAN(IF(($E$2:$E$151=E70)*($H$2:$H$151&lt;&gt;""),$H$2:$H$151)),H70)</f>
        <v>86232</v>
      </c>
      <c r="J70">
        <v>36</v>
      </c>
      <c r="K70" t="str" cm="1">
        <f t="array" ref="K70">_xlfn.IFS(RAW[[#This Row],[Perf_Score]]&gt;=95,"Outstanding",RAW[[#This Row],[Perf_Score]]&gt;=85,"Exceeding",RAW[[#This Row],[Perf_Score]]&gt;=70,"Achieving",RAW[[#This Row],[Perf_Score]]&gt;=50,"Developing",RAW[[#This Row],[Perf_Score]]&lt;=49,"Needs Improvement")</f>
        <v>Needs Improvement</v>
      </c>
      <c r="L70" t="s">
        <v>29</v>
      </c>
      <c r="M70">
        <f>IF(OR(RAW[[#This Row],[Employment Status]]="Left",RAW[[#This Row],[Employment Status]]="Resigned" ), 1, 0)</f>
        <v>0</v>
      </c>
      <c r="N70" t="str" cm="1">
        <f t="array" ref="N70">_xlfn.IFS(RAW[[#This Row],[Left/Resigned Band]]=0,"Active",RAW[[#This Row],[Left/Resigned Band]]=1,"Left")</f>
        <v>Active</v>
      </c>
      <c r="O70" t="str" cm="1">
        <f t="array" ref="O70">_xlfn.IFS(RAW[[#This Row],[Perf_Score]]&gt;=95,"0.12",RAW[[#This Row],[Perf_Score]]&gt;=85,"0.08",RAW[[#This Row],[Perf_Score]]&gt;=70,"0.05",RAW[[#This Row],[Perf_Score]]&gt;=50,"0.02",RAW[[#This Row],[Perf_Score]]&lt;=49,"0")</f>
        <v>0</v>
      </c>
      <c r="P70" s="3">
        <f t="shared" si="5"/>
        <v>0</v>
      </c>
    </row>
    <row r="71" spans="1:16" x14ac:dyDescent="0.25">
      <c r="A71" s="14" t="s">
        <v>104</v>
      </c>
      <c r="B71" s="14" t="s">
        <v>238</v>
      </c>
      <c r="C71" t="s">
        <v>64</v>
      </c>
      <c r="D71" s="14" t="str">
        <f t="shared" si="4"/>
        <v>HR01</v>
      </c>
      <c r="E71" s="14" t="str">
        <f>VLOOKUP(RAW[[#This Row],[Dept Code]],Table4[#All],2,FALSE)</f>
        <v>Human Resources</v>
      </c>
      <c r="F71" s="2">
        <v>43008</v>
      </c>
      <c r="G71" s="6">
        <f ca="1">DATEDIF(RAW[[#This Row],[Hire Date]], TODAY(), "Y")</f>
        <v>8</v>
      </c>
      <c r="H71" s="12">
        <v>55270</v>
      </c>
      <c r="I71" s="12" cm="1">
        <f t="array" ref="I71">IF(H71="",MEDIAN(IF(($E$2:$E$151=E71)*($H$2:$H$151&lt;&gt;""),$H$2:$H$151)),H71)</f>
        <v>55270</v>
      </c>
      <c r="J71" s="6">
        <v>87</v>
      </c>
      <c r="K71" s="14" t="str" cm="1">
        <f t="array" ref="K71">_xlfn.IFS(RAW[[#This Row],[Perf_Score]]&gt;=95,"Outstanding",RAW[[#This Row],[Perf_Score]]&gt;=85,"Exceeding",RAW[[#This Row],[Perf_Score]]&gt;=70,"Achieving",RAW[[#This Row],[Perf_Score]]&gt;=50,"Developing",RAW[[#This Row],[Perf_Score]]&lt;=49,"Needs Improvement")</f>
        <v>Exceeding</v>
      </c>
      <c r="L71" s="14" t="s">
        <v>29</v>
      </c>
      <c r="M71" s="17">
        <f>IF(OR(RAW[[#This Row],[Employment Status]]="Left",RAW[[#This Row],[Employment Status]]="Resigned" ), 1, 0)</f>
        <v>0</v>
      </c>
      <c r="N71" s="17" t="str" cm="1">
        <f t="array" ref="N71">_xlfn.IFS(RAW[[#This Row],[Left/Resigned Band]]=0,"Active",RAW[[#This Row],[Left/Resigned Band]]=1,"Left")</f>
        <v>Active</v>
      </c>
      <c r="O71" s="22" t="str" cm="1">
        <f t="array" ref="O71">_xlfn.IFS(RAW[[#This Row],[Perf_Score]]&gt;=95,"0.12",RAW[[#This Row],[Perf_Score]]&gt;=85,"0.08",RAW[[#This Row],[Perf_Score]]&gt;=70,"0.05",RAW[[#This Row],[Perf_Score]]&gt;=50,"0.02",RAW[[#This Row],[Perf_Score]]&lt;=49,"0")</f>
        <v>0.08</v>
      </c>
      <c r="P71" s="8">
        <f>RAW[[#This Row],[Salary]]*RAW[[#This Row],[Eligible Bonus Amount]]</f>
        <v>4421.6000000000004</v>
      </c>
    </row>
    <row r="72" spans="1:16" x14ac:dyDescent="0.25">
      <c r="A72" s="14" t="s">
        <v>105</v>
      </c>
      <c r="B72" s="14" t="s">
        <v>244</v>
      </c>
      <c r="C72" t="s">
        <v>28</v>
      </c>
      <c r="D72" s="14" t="str">
        <f t="shared" si="4"/>
        <v>SAL05</v>
      </c>
      <c r="E72" s="14" t="str">
        <f>VLOOKUP(RAW[[#This Row],[Dept Code]],Table4[#All],2,FALSE)</f>
        <v>Sales</v>
      </c>
      <c r="F72" s="2">
        <v>42192</v>
      </c>
      <c r="G72" s="6">
        <f ca="1">DATEDIF(RAW[[#This Row],[Hire Date]], TODAY(), "Y")</f>
        <v>10</v>
      </c>
      <c r="H72" s="12">
        <v>65235</v>
      </c>
      <c r="I72" s="12" cm="1">
        <f t="array" ref="I72">IF(H72="",MEDIAN(IF(($E$2:$E$151=E72)*($H$2:$H$151&lt;&gt;""),$H$2:$H$151)),H72)</f>
        <v>65235</v>
      </c>
      <c r="J72" s="6">
        <v>97</v>
      </c>
      <c r="K72" s="14" t="str" cm="1">
        <f t="array" ref="K72">_xlfn.IFS(RAW[[#This Row],[Perf_Score]]&gt;=95,"Outstanding",RAW[[#This Row],[Perf_Score]]&gt;=85,"Exceeding",RAW[[#This Row],[Perf_Score]]&gt;=70,"Achieving",RAW[[#This Row],[Perf_Score]]&gt;=50,"Developing",RAW[[#This Row],[Perf_Score]]&lt;=49,"Needs Improvement")</f>
        <v>Outstanding</v>
      </c>
      <c r="L72" s="14" t="s">
        <v>296</v>
      </c>
      <c r="M72" s="17">
        <f>IF(OR(RAW[[#This Row],[Employment Status]]="Left",RAW[[#This Row],[Employment Status]]="Resigned" ), 1, 0)</f>
        <v>0</v>
      </c>
      <c r="N72" s="17" t="str" cm="1">
        <f t="array" ref="N72">_xlfn.IFS(RAW[[#This Row],[Left/Resigned Band]]=0,"Active",RAW[[#This Row],[Left/Resigned Band]]=1,"Left")</f>
        <v>Active</v>
      </c>
      <c r="O72" s="22" t="str" cm="1">
        <f t="array" ref="O72">_xlfn.IFS(RAW[[#This Row],[Perf_Score]]&gt;=95,"0.12",RAW[[#This Row],[Perf_Score]]&gt;=85,"0.08",RAW[[#This Row],[Perf_Score]]&gt;=70,"0.05",RAW[[#This Row],[Perf_Score]]&gt;=50,"0.02",RAW[[#This Row],[Perf_Score]]&lt;=49,"0")</f>
        <v>0.12</v>
      </c>
      <c r="P72" s="8">
        <f>RAW[[#This Row],[Salary]]*RAW[[#This Row],[Eligible Bonus Amount]]</f>
        <v>7828.2</v>
      </c>
    </row>
    <row r="73" spans="1:16" x14ac:dyDescent="0.25">
      <c r="A73" t="s">
        <v>106</v>
      </c>
      <c r="B73" t="s">
        <v>245</v>
      </c>
      <c r="C73" t="s">
        <v>28</v>
      </c>
      <c r="D73" t="str">
        <f t="shared" si="4"/>
        <v>SAL05</v>
      </c>
      <c r="E73" t="str">
        <f>VLOOKUP(RAW[[#This Row],[Dept Code]],Table4[#All],2,FALSE)</f>
        <v>Sales</v>
      </c>
      <c r="F73" s="2">
        <v>43283</v>
      </c>
      <c r="G73" s="6">
        <f ca="1">DATEDIF(RAW[[#This Row],[Hire Date]], TODAY(), "Y")</f>
        <v>8</v>
      </c>
      <c r="I73" s="12" cm="1">
        <f t="array" ref="I73">IF(H73="",MEDIAN(IF(($E$2:$E$151=E73)*($H$2:$H$151&lt;&gt;""),$H$2:$H$151)),H73)</f>
        <v>81205</v>
      </c>
      <c r="J73">
        <v>72</v>
      </c>
      <c r="K73" t="str" cm="1">
        <f t="array" ref="K73">_xlfn.IFS(RAW[[#This Row],[Perf_Score]]&gt;=95,"Outstanding",RAW[[#This Row],[Perf_Score]]&gt;=85,"Exceeding",RAW[[#This Row],[Perf_Score]]&gt;=70,"Achieving",RAW[[#This Row],[Perf_Score]]&gt;=50,"Developing",RAW[[#This Row],[Perf_Score]]&lt;=49,"Needs Improvement")</f>
        <v>Achieving</v>
      </c>
      <c r="L73" t="s">
        <v>331</v>
      </c>
      <c r="M73">
        <f>IF(OR(RAW[[#This Row],[Employment Status]]="Left",RAW[[#This Row],[Employment Status]]="Resigned" ), 1, 0)</f>
        <v>0</v>
      </c>
      <c r="N73" t="str" cm="1">
        <f t="array" ref="N73">_xlfn.IFS(RAW[[#This Row],[Left/Resigned Band]]=0,"Active",RAW[[#This Row],[Left/Resigned Band]]=1,"Left")</f>
        <v>Active</v>
      </c>
      <c r="O73" t="str" cm="1">
        <f t="array" ref="O73">_xlfn.IFS(RAW[[#This Row],[Perf_Score]]&gt;=95,"0.12",RAW[[#This Row],[Perf_Score]]&gt;=85,"0.08",RAW[[#This Row],[Perf_Score]]&gt;=70,"0.05",RAW[[#This Row],[Perf_Score]]&gt;=50,"0.02",RAW[[#This Row],[Perf_Score]]&lt;=49,"0")</f>
        <v>0.05</v>
      </c>
      <c r="P73" s="3">
        <f t="shared" si="5"/>
        <v>0</v>
      </c>
    </row>
    <row r="74" spans="1:16" x14ac:dyDescent="0.25">
      <c r="A74" t="s">
        <v>107</v>
      </c>
      <c r="B74" t="s">
        <v>246</v>
      </c>
      <c r="C74" t="s">
        <v>31</v>
      </c>
      <c r="D74" t="str">
        <f t="shared" si="4"/>
        <v>SAL05</v>
      </c>
      <c r="E74" t="str">
        <f>VLOOKUP(RAW[[#This Row],[Dept Code]],Table4[#All],2,FALSE)</f>
        <v>Sales</v>
      </c>
      <c r="F74" s="2">
        <v>44819</v>
      </c>
      <c r="G74" s="6">
        <f ca="1">DATEDIF(RAW[[#This Row],[Hire Date]], TODAY(), "Y")</f>
        <v>3</v>
      </c>
      <c r="I74" s="12" cm="1">
        <f t="array" ref="I74">IF(H74="",MEDIAN(IF(($E$2:$E$151=E74)*($H$2:$H$151&lt;&gt;""),$H$2:$H$151)),H74)</f>
        <v>81205</v>
      </c>
      <c r="J74">
        <v>65</v>
      </c>
      <c r="K74" t="str" cm="1">
        <f t="array" ref="K74">_xlfn.IFS(RAW[[#This Row],[Perf_Score]]&gt;=95,"Outstanding",RAW[[#This Row],[Perf_Score]]&gt;=85,"Exceeding",RAW[[#This Row],[Perf_Score]]&gt;=70,"Achieving",RAW[[#This Row],[Perf_Score]]&gt;=50,"Developing",RAW[[#This Row],[Perf_Score]]&lt;=49,"Needs Improvement")</f>
        <v>Developing</v>
      </c>
      <c r="L74" t="s">
        <v>331</v>
      </c>
      <c r="M74">
        <f>IF(OR(RAW[[#This Row],[Employment Status]]="Left",RAW[[#This Row],[Employment Status]]="Resigned" ), 1, 0)</f>
        <v>0</v>
      </c>
      <c r="N74" t="str" cm="1">
        <f t="array" ref="N74">_xlfn.IFS(RAW[[#This Row],[Left/Resigned Band]]=0,"Active",RAW[[#This Row],[Left/Resigned Band]]=1,"Left")</f>
        <v>Active</v>
      </c>
      <c r="O74" t="str" cm="1">
        <f t="array" ref="O74">_xlfn.IFS(RAW[[#This Row],[Perf_Score]]&gt;=95,"0.12",RAW[[#This Row],[Perf_Score]]&gt;=85,"0.08",RAW[[#This Row],[Perf_Score]]&gt;=70,"0.05",RAW[[#This Row],[Perf_Score]]&gt;=50,"0.02",RAW[[#This Row],[Perf_Score]]&lt;=49,"0")</f>
        <v>0.02</v>
      </c>
      <c r="P74" s="3">
        <f t="shared" si="5"/>
        <v>0</v>
      </c>
    </row>
    <row r="75" spans="1:16" x14ac:dyDescent="0.25">
      <c r="A75" t="s">
        <v>108</v>
      </c>
      <c r="B75" t="s">
        <v>247</v>
      </c>
      <c r="C75" t="s">
        <v>53</v>
      </c>
      <c r="D75" t="str">
        <f t="shared" si="4"/>
        <v>SAL05</v>
      </c>
      <c r="E75" t="str">
        <f>VLOOKUP(RAW[[#This Row],[Dept Code]],Table4[#All],2,FALSE)</f>
        <v>Sales</v>
      </c>
      <c r="F75" s="2">
        <v>42249</v>
      </c>
      <c r="G75" s="6">
        <f ca="1">DATEDIF(RAW[[#This Row],[Hire Date]], TODAY(), "Y")</f>
        <v>10</v>
      </c>
      <c r="I75" s="12" cm="1">
        <f t="array" ref="I75">IF(H75="",MEDIAN(IF(($E$2:$E$151=E75)*($H$2:$H$151&lt;&gt;""),$H$2:$H$151)),H75)</f>
        <v>81205</v>
      </c>
      <c r="J75">
        <v>67</v>
      </c>
      <c r="K75" t="str" cm="1">
        <f t="array" ref="K75">_xlfn.IFS(RAW[[#This Row],[Perf_Score]]&gt;=95,"Outstanding",RAW[[#This Row],[Perf_Score]]&gt;=85,"Exceeding",RAW[[#This Row],[Perf_Score]]&gt;=70,"Achieving",RAW[[#This Row],[Perf_Score]]&gt;=50,"Developing",RAW[[#This Row],[Perf_Score]]&lt;=49,"Needs Improvement")</f>
        <v>Developing</v>
      </c>
      <c r="L75" t="s">
        <v>29</v>
      </c>
      <c r="M75">
        <f>IF(OR(RAW[[#This Row],[Employment Status]]="Left",RAW[[#This Row],[Employment Status]]="Resigned" ), 1, 0)</f>
        <v>0</v>
      </c>
      <c r="N75" t="str" cm="1">
        <f t="array" ref="N75">_xlfn.IFS(RAW[[#This Row],[Left/Resigned Band]]=0,"Active",RAW[[#This Row],[Left/Resigned Band]]=1,"Left")</f>
        <v>Active</v>
      </c>
      <c r="O75" t="str" cm="1">
        <f t="array" ref="O75">_xlfn.IFS(RAW[[#This Row],[Perf_Score]]&gt;=95,"0.12",RAW[[#This Row],[Perf_Score]]&gt;=85,"0.08",RAW[[#This Row],[Perf_Score]]&gt;=70,"0.05",RAW[[#This Row],[Perf_Score]]&gt;=50,"0.02",RAW[[#This Row],[Perf_Score]]&lt;=49,"0")</f>
        <v>0.02</v>
      </c>
      <c r="P75" s="3">
        <f t="shared" si="5"/>
        <v>0</v>
      </c>
    </row>
    <row r="76" spans="1:16" x14ac:dyDescent="0.25">
      <c r="A76" s="14" t="s">
        <v>109</v>
      </c>
      <c r="B76" s="14" t="s">
        <v>248</v>
      </c>
      <c r="C76" t="s">
        <v>110</v>
      </c>
      <c r="D76" s="14" t="str">
        <f t="shared" si="4"/>
        <v>OPS06</v>
      </c>
      <c r="E76" s="14" t="str">
        <f>VLOOKUP(RAW[[#This Row],[Dept Code]],Table4[#All],2,FALSE)</f>
        <v>Operations</v>
      </c>
      <c r="F76" s="2">
        <v>42654</v>
      </c>
      <c r="G76" s="6">
        <f ca="1">DATEDIF(RAW[[#This Row],[Hire Date]], TODAY(), "Y")</f>
        <v>9</v>
      </c>
      <c r="H76" s="12">
        <v>48823</v>
      </c>
      <c r="I76" s="12" cm="1">
        <f t="array" ref="I76">IF(H76="",MEDIAN(IF(($E$2:$E$151=E76)*($H$2:$H$151&lt;&gt;""),$H$2:$H$151)),H76)</f>
        <v>48823</v>
      </c>
      <c r="J76" s="6">
        <v>34</v>
      </c>
      <c r="K76" s="14" t="str" cm="1">
        <f t="array" ref="K76">_xlfn.IFS(RAW[[#This Row],[Perf_Score]]&gt;=95,"Outstanding",RAW[[#This Row],[Perf_Score]]&gt;=85,"Exceeding",RAW[[#This Row],[Perf_Score]]&gt;=70,"Achieving",RAW[[#This Row],[Perf_Score]]&gt;=50,"Developing",RAW[[#This Row],[Perf_Score]]&lt;=49,"Needs Improvement")</f>
        <v>Needs Improvement</v>
      </c>
      <c r="L76" s="14" t="s">
        <v>296</v>
      </c>
      <c r="M76" s="17">
        <f>IF(OR(RAW[[#This Row],[Employment Status]]="Left",RAW[[#This Row],[Employment Status]]="Resigned" ), 1, 0)</f>
        <v>0</v>
      </c>
      <c r="N76" s="17" t="str" cm="1">
        <f t="array" ref="N76">_xlfn.IFS(RAW[[#This Row],[Left/Resigned Band]]=0,"Active",RAW[[#This Row],[Left/Resigned Band]]=1,"Left")</f>
        <v>Active</v>
      </c>
      <c r="O76" s="22" t="str" cm="1">
        <f t="array" ref="O76">_xlfn.IFS(RAW[[#This Row],[Perf_Score]]&gt;=95,"0.12",RAW[[#This Row],[Perf_Score]]&gt;=85,"0.08",RAW[[#This Row],[Perf_Score]]&gt;=70,"0.05",RAW[[#This Row],[Perf_Score]]&gt;=50,"0.02",RAW[[#This Row],[Perf_Score]]&lt;=49,"0")</f>
        <v>0</v>
      </c>
      <c r="P76" s="8">
        <f>RAW[[#This Row],[Salary]]*RAW[[#This Row],[Eligible Bonus Amount]]</f>
        <v>0</v>
      </c>
    </row>
    <row r="77" spans="1:16" x14ac:dyDescent="0.25">
      <c r="A77" s="14" t="s">
        <v>111</v>
      </c>
      <c r="B77" s="14" t="s">
        <v>247</v>
      </c>
      <c r="C77" t="s">
        <v>50</v>
      </c>
      <c r="D77" s="14" t="str">
        <f t="shared" si="4"/>
        <v>FIN03</v>
      </c>
      <c r="E77" s="14" t="str">
        <f>VLOOKUP(RAW[[#This Row],[Dept Code]],Table4[#All],2,FALSE)</f>
        <v>Finance</v>
      </c>
      <c r="F77" s="2">
        <v>43575</v>
      </c>
      <c r="G77" s="6">
        <f ca="1">DATEDIF(RAW[[#This Row],[Hire Date]], TODAY(), "Y")</f>
        <v>7</v>
      </c>
      <c r="H77" s="12">
        <v>45196</v>
      </c>
      <c r="I77" s="12" cm="1">
        <f t="array" ref="I77">IF(H77="",MEDIAN(IF(($E$2:$E$151=E77)*($H$2:$H$151&lt;&gt;""),$H$2:$H$151)),H77)</f>
        <v>45196</v>
      </c>
      <c r="J77" s="6">
        <v>78</v>
      </c>
      <c r="K77" s="14" t="str" cm="1">
        <f t="array" ref="K77">_xlfn.IFS(RAW[[#This Row],[Perf_Score]]&gt;=95,"Outstanding",RAW[[#This Row],[Perf_Score]]&gt;=85,"Exceeding",RAW[[#This Row],[Perf_Score]]&gt;=70,"Achieving",RAW[[#This Row],[Perf_Score]]&gt;=50,"Developing",RAW[[#This Row],[Perf_Score]]&lt;=49,"Needs Improvement")</f>
        <v>Achieving</v>
      </c>
      <c r="L77" s="14" t="s">
        <v>19</v>
      </c>
      <c r="M77" s="17">
        <f>IF(OR(RAW[[#This Row],[Employment Status]]="Left",RAW[[#This Row],[Employment Status]]="Resigned" ), 1, 0)</f>
        <v>1</v>
      </c>
      <c r="N77" s="17" t="str" cm="1">
        <f t="array" ref="N77">_xlfn.IFS(RAW[[#This Row],[Left/Resigned Band]]=0,"Active",RAW[[#This Row],[Left/Resigned Band]]=1,"Left")</f>
        <v>Left</v>
      </c>
      <c r="O77" s="22" t="str" cm="1">
        <f t="array" ref="O77">_xlfn.IFS(RAW[[#This Row],[Perf_Score]]&gt;=95,"0.12",RAW[[#This Row],[Perf_Score]]&gt;=85,"0.08",RAW[[#This Row],[Perf_Score]]&gt;=70,"0.05",RAW[[#This Row],[Perf_Score]]&gt;=50,"0.02",RAW[[#This Row],[Perf_Score]]&lt;=49,"0")</f>
        <v>0.05</v>
      </c>
      <c r="P77" s="8">
        <f>RAW[[#This Row],[Salary]]*RAW[[#This Row],[Eligible Bonus Amount]]</f>
        <v>2259.8000000000002</v>
      </c>
    </row>
    <row r="78" spans="1:16" x14ac:dyDescent="0.25">
      <c r="A78" s="14" t="s">
        <v>112</v>
      </c>
      <c r="B78" s="14" t="s">
        <v>249</v>
      </c>
      <c r="C78" t="s">
        <v>8</v>
      </c>
      <c r="D78" s="14" t="str">
        <f t="shared" si="4"/>
        <v>IT02</v>
      </c>
      <c r="E78" s="14" t="str">
        <f>VLOOKUP(RAW[[#This Row],[Dept Code]],Table4[#All],2,FALSE)</f>
        <v>Information Technology</v>
      </c>
      <c r="F78" s="2">
        <v>42785</v>
      </c>
      <c r="G78" s="6">
        <f ca="1">DATEDIF(RAW[[#This Row],[Hire Date]], TODAY(), "Y")</f>
        <v>9</v>
      </c>
      <c r="H78" s="12">
        <v>86246</v>
      </c>
      <c r="I78" s="12" cm="1">
        <f t="array" ref="I78">IF(H78="",MEDIAN(IF(($E$2:$E$151=E78)*($H$2:$H$151&lt;&gt;""),$H$2:$H$151)),H78)</f>
        <v>86246</v>
      </c>
      <c r="J78" s="6">
        <v>61</v>
      </c>
      <c r="K78" s="14" t="str" cm="1">
        <f t="array" ref="K78">_xlfn.IFS(RAW[[#This Row],[Perf_Score]]&gt;=95,"Outstanding",RAW[[#This Row],[Perf_Score]]&gt;=85,"Exceeding",RAW[[#This Row],[Perf_Score]]&gt;=70,"Achieving",RAW[[#This Row],[Perf_Score]]&gt;=50,"Developing",RAW[[#This Row],[Perf_Score]]&lt;=49,"Needs Improvement")</f>
        <v>Developing</v>
      </c>
      <c r="L78" s="14" t="s">
        <v>29</v>
      </c>
      <c r="M78" s="17">
        <f>IF(OR(RAW[[#This Row],[Employment Status]]="Left",RAW[[#This Row],[Employment Status]]="Resigned" ), 1, 0)</f>
        <v>0</v>
      </c>
      <c r="N78" s="17" t="str" cm="1">
        <f t="array" ref="N78">_xlfn.IFS(RAW[[#This Row],[Left/Resigned Band]]=0,"Active",RAW[[#This Row],[Left/Resigned Band]]=1,"Left")</f>
        <v>Active</v>
      </c>
      <c r="O78" s="22" t="str" cm="1">
        <f t="array" ref="O78">_xlfn.IFS(RAW[[#This Row],[Perf_Score]]&gt;=95,"0.12",RAW[[#This Row],[Perf_Score]]&gt;=85,"0.08",RAW[[#This Row],[Perf_Score]]&gt;=70,"0.05",RAW[[#This Row],[Perf_Score]]&gt;=50,"0.02",RAW[[#This Row],[Perf_Score]]&lt;=49,"0")</f>
        <v>0.02</v>
      </c>
      <c r="P78" s="8">
        <f>RAW[[#This Row],[Salary]]*RAW[[#This Row],[Eligible Bonus Amount]]</f>
        <v>1724.92</v>
      </c>
    </row>
    <row r="79" spans="1:16" x14ac:dyDescent="0.25">
      <c r="A79" s="14" t="s">
        <v>113</v>
      </c>
      <c r="B79" s="14" t="s">
        <v>196</v>
      </c>
      <c r="C79" t="s">
        <v>28</v>
      </c>
      <c r="D79" s="14" t="str">
        <f t="shared" si="4"/>
        <v>SAL05</v>
      </c>
      <c r="E79" s="14" t="str">
        <f>VLOOKUP(RAW[[#This Row],[Dept Code]],Table4[#All],2,FALSE)</f>
        <v>Sales</v>
      </c>
      <c r="F79" s="2">
        <v>44446</v>
      </c>
      <c r="G79" s="6">
        <f ca="1">DATEDIF(RAW[[#This Row],[Hire Date]], TODAY(), "Y")</f>
        <v>4</v>
      </c>
      <c r="H79" s="12">
        <v>70359</v>
      </c>
      <c r="I79" s="12" cm="1">
        <f t="array" ref="I79">IF(H79="",MEDIAN(IF(($E$2:$E$151=E79)*($H$2:$H$151&lt;&gt;""),$H$2:$H$151)),H79)</f>
        <v>70359</v>
      </c>
      <c r="J79" s="6">
        <v>74</v>
      </c>
      <c r="K79" s="14" t="str" cm="1">
        <f t="array" ref="K79">_xlfn.IFS(RAW[[#This Row],[Perf_Score]]&gt;=95,"Outstanding",RAW[[#This Row],[Perf_Score]]&gt;=85,"Exceeding",RAW[[#This Row],[Perf_Score]]&gt;=70,"Achieving",RAW[[#This Row],[Perf_Score]]&gt;=50,"Developing",RAW[[#This Row],[Perf_Score]]&lt;=49,"Needs Improvement")</f>
        <v>Achieving</v>
      </c>
      <c r="L79" s="14" t="s">
        <v>19</v>
      </c>
      <c r="M79" s="17">
        <f>IF(OR(RAW[[#This Row],[Employment Status]]="Left",RAW[[#This Row],[Employment Status]]="Resigned" ), 1, 0)</f>
        <v>1</v>
      </c>
      <c r="N79" s="17" t="str" cm="1">
        <f t="array" ref="N79">_xlfn.IFS(RAW[[#This Row],[Left/Resigned Band]]=0,"Active",RAW[[#This Row],[Left/Resigned Band]]=1,"Left")</f>
        <v>Left</v>
      </c>
      <c r="O79" s="22" t="str" cm="1">
        <f t="array" ref="O79">_xlfn.IFS(RAW[[#This Row],[Perf_Score]]&gt;=95,"0.12",RAW[[#This Row],[Perf_Score]]&gt;=85,"0.08",RAW[[#This Row],[Perf_Score]]&gt;=70,"0.05",RAW[[#This Row],[Perf_Score]]&gt;=50,"0.02",RAW[[#This Row],[Perf_Score]]&lt;=49,"0")</f>
        <v>0.05</v>
      </c>
      <c r="P79" s="8">
        <f>RAW[[#This Row],[Salary]]*RAW[[#This Row],[Eligible Bonus Amount]]</f>
        <v>3517.9500000000003</v>
      </c>
    </row>
    <row r="80" spans="1:16" x14ac:dyDescent="0.25">
      <c r="A80" t="s">
        <v>114</v>
      </c>
      <c r="B80" t="s">
        <v>219</v>
      </c>
      <c r="C80" t="s">
        <v>40</v>
      </c>
      <c r="D80" t="str">
        <f t="shared" si="4"/>
        <v>MKT04</v>
      </c>
      <c r="E80" t="str">
        <f>VLOOKUP(RAW[[#This Row],[Dept Code]],Table4[#All],2,FALSE)</f>
        <v>Marketing</v>
      </c>
      <c r="F80" s="2">
        <v>43599</v>
      </c>
      <c r="G80" s="6">
        <f ca="1">DATEDIF(RAW[[#This Row],[Hire Date]], TODAY(), "Y")</f>
        <v>7</v>
      </c>
      <c r="I80" s="12" cm="1">
        <f t="array" ref="I80">IF(H80="",MEDIAN(IF(($E$2:$E$151=E80)*($H$2:$H$151&lt;&gt;""),$H$2:$H$151)),H80)</f>
        <v>85581</v>
      </c>
      <c r="J80">
        <v>94</v>
      </c>
      <c r="K80" t="str" cm="1">
        <f t="array" ref="K80">_xlfn.IFS(RAW[[#This Row],[Perf_Score]]&gt;=95,"Outstanding",RAW[[#This Row],[Perf_Score]]&gt;=85,"Exceeding",RAW[[#This Row],[Perf_Score]]&gt;=70,"Achieving",RAW[[#This Row],[Perf_Score]]&gt;=50,"Developing",RAW[[#This Row],[Perf_Score]]&lt;=49,"Needs Improvement")</f>
        <v>Exceeding</v>
      </c>
      <c r="L80" t="s">
        <v>296</v>
      </c>
      <c r="M80">
        <f>IF(OR(RAW[[#This Row],[Employment Status]]="Left",RAW[[#This Row],[Employment Status]]="Resigned" ), 1, 0)</f>
        <v>0</v>
      </c>
      <c r="N80" t="str" cm="1">
        <f t="array" ref="N80">_xlfn.IFS(RAW[[#This Row],[Left/Resigned Band]]=0,"Active",RAW[[#This Row],[Left/Resigned Band]]=1,"Left")</f>
        <v>Active</v>
      </c>
      <c r="O80" t="str" cm="1">
        <f t="array" ref="O80">_xlfn.IFS(RAW[[#This Row],[Perf_Score]]&gt;=95,"0.12",RAW[[#This Row],[Perf_Score]]&gt;=85,"0.08",RAW[[#This Row],[Perf_Score]]&gt;=70,"0.05",RAW[[#This Row],[Perf_Score]]&gt;=50,"0.02",RAW[[#This Row],[Perf_Score]]&lt;=49,"0")</f>
        <v>0.08</v>
      </c>
      <c r="P80" s="3">
        <f t="shared" si="5"/>
        <v>0</v>
      </c>
    </row>
    <row r="81" spans="1:16" hidden="1" x14ac:dyDescent="0.25">
      <c r="A81" t="s">
        <v>115</v>
      </c>
      <c r="B81" t="s">
        <v>250</v>
      </c>
      <c r="C81" t="s">
        <v>23</v>
      </c>
      <c r="D81" t="str">
        <f t="shared" si="4"/>
        <v>OPS06</v>
      </c>
      <c r="E81" t="str">
        <f>VLOOKUP(RAW[[#This Row],[Dept Code]],Table4[#All],2,FALSE)</f>
        <v>Operations</v>
      </c>
      <c r="F81" s="2">
        <v>42330</v>
      </c>
      <c r="G81" s="6">
        <f ca="1">DATEDIF(RAW[[#This Row],[Hire Date]], TODAY(), "Y")</f>
        <v>10</v>
      </c>
      <c r="H81" s="12">
        <v>86480</v>
      </c>
      <c r="I81" s="12" cm="1">
        <f t="array" ref="I81">IF(H81="",MEDIAN(IF(($E$2:$E$151=E81)*($H$2:$H$151&lt;&gt;""),$H$2:$H$151)),H81)</f>
        <v>86480</v>
      </c>
      <c r="J81"/>
      <c r="K81" t="str" cm="1">
        <f t="array" ref="K81">_xlfn.IFS(RAW[[#This Row],[Perf_Score]]&gt;=95,"Outstanding",RAW[[#This Row],[Perf_Score]]&gt;=85,"Exceeding",RAW[[#This Row],[Perf_Score]]&gt;=70,"Achieving",RAW[[#This Row],[Perf_Score]]&gt;=50,"Developing",RAW[[#This Row],[Perf_Score]]&lt;=49,"Needs Improvement")</f>
        <v>Needs Improvement</v>
      </c>
      <c r="L81" t="s">
        <v>12</v>
      </c>
      <c r="M81">
        <f>IF(OR(RAW[[#This Row],[Employment Status]]="Left",RAW[[#This Row],[Employment Status]]="Resigned" ), 1, 0)</f>
        <v>0</v>
      </c>
      <c r="N81" t="str" cm="1">
        <f t="array" ref="N81">_xlfn.IFS(RAW[[#This Row],[Left/Resigned Band]]=0,"Active",RAW[[#This Row],[Left/Resigned Band]]=1,"Left")</f>
        <v>Active</v>
      </c>
      <c r="O81" t="str" cm="1">
        <f t="array" ref="O81">_xlfn.IFS(RAW[[#This Row],[Perf_Score]]&gt;=95,"0.12",RAW[[#This Row],[Perf_Score]]&gt;=85,"0.08",RAW[[#This Row],[Perf_Score]]&gt;=70,"0.05",RAW[[#This Row],[Perf_Score]]&gt;=50,"0.02",RAW[[#This Row],[Perf_Score]]&lt;=49,"0")</f>
        <v>0</v>
      </c>
      <c r="P81" s="3">
        <f t="shared" si="5"/>
        <v>0</v>
      </c>
    </row>
    <row r="82" spans="1:16" x14ac:dyDescent="0.25">
      <c r="A82" s="14" t="s">
        <v>116</v>
      </c>
      <c r="B82" s="14" t="s">
        <v>251</v>
      </c>
      <c r="C82" t="s">
        <v>91</v>
      </c>
      <c r="D82" s="14" t="str">
        <f t="shared" si="4"/>
        <v>HR01</v>
      </c>
      <c r="E82" s="14" t="str">
        <f>VLOOKUP(RAW[[#This Row],[Dept Code]],Table4[#All],2,FALSE)</f>
        <v>Human Resources</v>
      </c>
      <c r="F82" s="2">
        <v>43372</v>
      </c>
      <c r="G82" s="6">
        <f ca="1">DATEDIF(RAW[[#This Row],[Hire Date]], TODAY(), "Y")</f>
        <v>7</v>
      </c>
      <c r="H82" s="12">
        <v>47694</v>
      </c>
      <c r="I82" s="12" cm="1">
        <f t="array" ref="I82">IF(H82="",MEDIAN(IF(($E$2:$E$151=E82)*($H$2:$H$151&lt;&gt;""),$H$2:$H$151)),H82)</f>
        <v>47694</v>
      </c>
      <c r="J82" s="6">
        <v>75</v>
      </c>
      <c r="K82" s="14" t="str" cm="1">
        <f t="array" ref="K82">_xlfn.IFS(RAW[[#This Row],[Perf_Score]]&gt;=95,"Outstanding",RAW[[#This Row],[Perf_Score]]&gt;=85,"Exceeding",RAW[[#This Row],[Perf_Score]]&gt;=70,"Achieving",RAW[[#This Row],[Perf_Score]]&gt;=50,"Developing",RAW[[#This Row],[Perf_Score]]&lt;=49,"Needs Improvement")</f>
        <v>Achieving</v>
      </c>
      <c r="L82" s="14" t="s">
        <v>296</v>
      </c>
      <c r="M82" s="17">
        <f>IF(OR(RAW[[#This Row],[Employment Status]]="Left",RAW[[#This Row],[Employment Status]]="Resigned" ), 1, 0)</f>
        <v>0</v>
      </c>
      <c r="N82" s="17" t="str" cm="1">
        <f t="array" ref="N82">_xlfn.IFS(RAW[[#This Row],[Left/Resigned Band]]=0,"Active",RAW[[#This Row],[Left/Resigned Band]]=1,"Left")</f>
        <v>Active</v>
      </c>
      <c r="O82" s="22" t="str" cm="1">
        <f t="array" ref="O82">_xlfn.IFS(RAW[[#This Row],[Perf_Score]]&gt;=95,"0.12",RAW[[#This Row],[Perf_Score]]&gt;=85,"0.08",RAW[[#This Row],[Perf_Score]]&gt;=70,"0.05",RAW[[#This Row],[Perf_Score]]&gt;=50,"0.02",RAW[[#This Row],[Perf_Score]]&lt;=49,"0")</f>
        <v>0.05</v>
      </c>
      <c r="P82" s="8">
        <f>RAW[[#This Row],[Salary]]*RAW[[#This Row],[Eligible Bonus Amount]]</f>
        <v>2384.7000000000003</v>
      </c>
    </row>
    <row r="83" spans="1:16" x14ac:dyDescent="0.25">
      <c r="A83" s="14" t="s">
        <v>117</v>
      </c>
      <c r="B83" s="14" t="s">
        <v>252</v>
      </c>
      <c r="C83" t="s">
        <v>8</v>
      </c>
      <c r="D83" s="14" t="str">
        <f t="shared" si="4"/>
        <v>IT02</v>
      </c>
      <c r="E83" s="14" t="str">
        <f>VLOOKUP(RAW[[#This Row],[Dept Code]],Table4[#All],2,FALSE)</f>
        <v>Information Technology</v>
      </c>
      <c r="F83" s="2">
        <v>45171</v>
      </c>
      <c r="G83" s="6">
        <f ca="1">DATEDIF(RAW[[#This Row],[Hire Date]], TODAY(), "Y")</f>
        <v>2</v>
      </c>
      <c r="H83" s="12">
        <v>83724</v>
      </c>
      <c r="I83" s="12" cm="1">
        <f t="array" ref="I83">IF(H83="",MEDIAN(IF(($E$2:$E$151=E83)*($H$2:$H$151&lt;&gt;""),$H$2:$H$151)),H83)</f>
        <v>83724</v>
      </c>
      <c r="J83" s="6">
        <v>81</v>
      </c>
      <c r="K83" s="14" t="str" cm="1">
        <f t="array" ref="K83">_xlfn.IFS(RAW[[#This Row],[Perf_Score]]&gt;=95,"Outstanding",RAW[[#This Row],[Perf_Score]]&gt;=85,"Exceeding",RAW[[#This Row],[Perf_Score]]&gt;=70,"Achieving",RAW[[#This Row],[Perf_Score]]&gt;=50,"Developing",RAW[[#This Row],[Perf_Score]]&lt;=49,"Needs Improvement")</f>
        <v>Achieving</v>
      </c>
      <c r="L83" s="14" t="s">
        <v>75</v>
      </c>
      <c r="M83" s="17">
        <f>IF(OR(RAW[[#This Row],[Employment Status]]="Left",RAW[[#This Row],[Employment Status]]="Resigned" ), 1, 0)</f>
        <v>1</v>
      </c>
      <c r="N83" s="17" t="str" cm="1">
        <f t="array" ref="N83">_xlfn.IFS(RAW[[#This Row],[Left/Resigned Band]]=0,"Active",RAW[[#This Row],[Left/Resigned Band]]=1,"Left")</f>
        <v>Left</v>
      </c>
      <c r="O83" s="22" t="str" cm="1">
        <f t="array" ref="O83">_xlfn.IFS(RAW[[#This Row],[Perf_Score]]&gt;=95,"0.12",RAW[[#This Row],[Perf_Score]]&gt;=85,"0.08",RAW[[#This Row],[Perf_Score]]&gt;=70,"0.05",RAW[[#This Row],[Perf_Score]]&gt;=50,"0.02",RAW[[#This Row],[Perf_Score]]&lt;=49,"0")</f>
        <v>0.05</v>
      </c>
      <c r="P83" s="8">
        <f>RAW[[#This Row],[Salary]]*RAW[[#This Row],[Eligible Bonus Amount]]</f>
        <v>4186.2</v>
      </c>
    </row>
    <row r="84" spans="1:16" x14ac:dyDescent="0.25">
      <c r="A84" s="14" t="s">
        <v>118</v>
      </c>
      <c r="B84" s="14" t="s">
        <v>253</v>
      </c>
      <c r="C84" t="s">
        <v>50</v>
      </c>
      <c r="D84" s="14" t="str">
        <f t="shared" si="4"/>
        <v>FIN03</v>
      </c>
      <c r="E84" s="14" t="str">
        <f>VLOOKUP(RAW[[#This Row],[Dept Code]],Table4[#All],2,FALSE)</f>
        <v>Finance</v>
      </c>
      <c r="F84" s="2">
        <v>44759</v>
      </c>
      <c r="G84" s="6">
        <f ca="1">DATEDIF(RAW[[#This Row],[Hire Date]], TODAY(), "Y")</f>
        <v>3</v>
      </c>
      <c r="H84" s="12">
        <v>98299</v>
      </c>
      <c r="I84" s="12" cm="1">
        <f t="array" ref="I84">IF(H84="",MEDIAN(IF(($E$2:$E$151=E84)*($H$2:$H$151&lt;&gt;""),$H$2:$H$151)),H84)</f>
        <v>98299</v>
      </c>
      <c r="J84" s="6">
        <v>61</v>
      </c>
      <c r="K84" s="14" t="str" cm="1">
        <f t="array" ref="K84">_xlfn.IFS(RAW[[#This Row],[Perf_Score]]&gt;=95,"Outstanding",RAW[[#This Row],[Perf_Score]]&gt;=85,"Exceeding",RAW[[#This Row],[Perf_Score]]&gt;=70,"Achieving",RAW[[#This Row],[Perf_Score]]&gt;=50,"Developing",RAW[[#This Row],[Perf_Score]]&lt;=49,"Needs Improvement")</f>
        <v>Developing</v>
      </c>
      <c r="L84" s="14" t="s">
        <v>29</v>
      </c>
      <c r="M84" s="17">
        <f>IF(OR(RAW[[#This Row],[Employment Status]]="Left",RAW[[#This Row],[Employment Status]]="Resigned" ), 1, 0)</f>
        <v>0</v>
      </c>
      <c r="N84" s="17" t="str" cm="1">
        <f t="array" ref="N84">_xlfn.IFS(RAW[[#This Row],[Left/Resigned Band]]=0,"Active",RAW[[#This Row],[Left/Resigned Band]]=1,"Left")</f>
        <v>Active</v>
      </c>
      <c r="O84" s="22" t="str" cm="1">
        <f t="array" ref="O84">_xlfn.IFS(RAW[[#This Row],[Perf_Score]]&gt;=95,"0.12",RAW[[#This Row],[Perf_Score]]&gt;=85,"0.08",RAW[[#This Row],[Perf_Score]]&gt;=70,"0.05",RAW[[#This Row],[Perf_Score]]&gt;=50,"0.02",RAW[[#This Row],[Perf_Score]]&lt;=49,"0")</f>
        <v>0.02</v>
      </c>
      <c r="P84" s="8">
        <f>RAW[[#This Row],[Salary]]*RAW[[#This Row],[Eligible Bonus Amount]]</f>
        <v>1965.98</v>
      </c>
    </row>
    <row r="85" spans="1:16" x14ac:dyDescent="0.25">
      <c r="A85" t="s">
        <v>119</v>
      </c>
      <c r="B85" t="s">
        <v>254</v>
      </c>
      <c r="C85" t="s">
        <v>16</v>
      </c>
      <c r="D85" t="str">
        <f t="shared" si="4"/>
        <v>FIN03</v>
      </c>
      <c r="E85" t="str">
        <f>VLOOKUP(RAW[[#This Row],[Dept Code]],Table4[#All],2,FALSE)</f>
        <v>Finance</v>
      </c>
      <c r="F85" s="2">
        <v>44234</v>
      </c>
      <c r="G85" s="6">
        <f ca="1">DATEDIF(RAW[[#This Row],[Hire Date]], TODAY(), "Y")</f>
        <v>5</v>
      </c>
      <c r="I85" s="12" cm="1">
        <f t="array" ref="I85">IF(H85="",MEDIAN(IF(($E$2:$E$151=E85)*($H$2:$H$151&lt;&gt;""),$H$2:$H$151)),H85)</f>
        <v>93152</v>
      </c>
      <c r="J85">
        <v>68</v>
      </c>
      <c r="K85" t="str" cm="1">
        <f t="array" ref="K85">_xlfn.IFS(RAW[[#This Row],[Perf_Score]]&gt;=95,"Outstanding",RAW[[#This Row],[Perf_Score]]&gt;=85,"Exceeding",RAW[[#This Row],[Perf_Score]]&gt;=70,"Achieving",RAW[[#This Row],[Perf_Score]]&gt;=50,"Developing",RAW[[#This Row],[Perf_Score]]&lt;=49,"Needs Improvement")</f>
        <v>Developing</v>
      </c>
      <c r="L85" t="s">
        <v>29</v>
      </c>
      <c r="M85">
        <f>IF(OR(RAW[[#This Row],[Employment Status]]="Left",RAW[[#This Row],[Employment Status]]="Resigned" ), 1, 0)</f>
        <v>0</v>
      </c>
      <c r="N85" t="str" cm="1">
        <f t="array" ref="N85">_xlfn.IFS(RAW[[#This Row],[Left/Resigned Band]]=0,"Active",RAW[[#This Row],[Left/Resigned Band]]=1,"Left")</f>
        <v>Active</v>
      </c>
      <c r="O85" t="str" cm="1">
        <f t="array" ref="O85">_xlfn.IFS(RAW[[#This Row],[Perf_Score]]&gt;=95,"0.12",RAW[[#This Row],[Perf_Score]]&gt;=85,"0.08",RAW[[#This Row],[Perf_Score]]&gt;=70,"0.05",RAW[[#This Row],[Perf_Score]]&gt;=50,"0.02",RAW[[#This Row],[Perf_Score]]&lt;=49,"0")</f>
        <v>0.02</v>
      </c>
      <c r="P85" s="3">
        <f t="shared" si="5"/>
        <v>0</v>
      </c>
    </row>
    <row r="86" spans="1:16" x14ac:dyDescent="0.25">
      <c r="A86" s="14" t="s">
        <v>120</v>
      </c>
      <c r="B86" s="14" t="s">
        <v>255</v>
      </c>
      <c r="C86" t="s">
        <v>56</v>
      </c>
      <c r="D86" s="14" t="str">
        <f t="shared" si="4"/>
        <v>IT02</v>
      </c>
      <c r="E86" s="14" t="str">
        <f>VLOOKUP(RAW[[#This Row],[Dept Code]],Table4[#All],2,FALSE)</f>
        <v>Information Technology</v>
      </c>
      <c r="F86" s="2">
        <v>45203</v>
      </c>
      <c r="G86" s="6">
        <f ca="1">DATEDIF(RAW[[#This Row],[Hire Date]], TODAY(), "Y")</f>
        <v>2</v>
      </c>
      <c r="H86" s="12">
        <v>52287</v>
      </c>
      <c r="I86" s="12" cm="1">
        <f t="array" ref="I86">IF(H86="",MEDIAN(IF(($E$2:$E$151=E86)*($H$2:$H$151&lt;&gt;""),$H$2:$H$151)),H86)</f>
        <v>52287</v>
      </c>
      <c r="J86" s="6">
        <v>70</v>
      </c>
      <c r="K86" s="14" t="str" cm="1">
        <f t="array" ref="K86">_xlfn.IFS(RAW[[#This Row],[Perf_Score]]&gt;=95,"Outstanding",RAW[[#This Row],[Perf_Score]]&gt;=85,"Exceeding",RAW[[#This Row],[Perf_Score]]&gt;=70,"Achieving",RAW[[#This Row],[Perf_Score]]&gt;=50,"Developing",RAW[[#This Row],[Perf_Score]]&lt;=49,"Needs Improvement")</f>
        <v>Achieving</v>
      </c>
      <c r="L86" s="14" t="s">
        <v>29</v>
      </c>
      <c r="M86" s="17">
        <f>IF(OR(RAW[[#This Row],[Employment Status]]="Left",RAW[[#This Row],[Employment Status]]="Resigned" ), 1, 0)</f>
        <v>0</v>
      </c>
      <c r="N86" s="17" t="str" cm="1">
        <f t="array" ref="N86">_xlfn.IFS(RAW[[#This Row],[Left/Resigned Band]]=0,"Active",RAW[[#This Row],[Left/Resigned Band]]=1,"Left")</f>
        <v>Active</v>
      </c>
      <c r="O86" s="22" t="str" cm="1">
        <f t="array" ref="O86">_xlfn.IFS(RAW[[#This Row],[Perf_Score]]&gt;=95,"0.12",RAW[[#This Row],[Perf_Score]]&gt;=85,"0.08",RAW[[#This Row],[Perf_Score]]&gt;=70,"0.05",RAW[[#This Row],[Perf_Score]]&gt;=50,"0.02",RAW[[#This Row],[Perf_Score]]&lt;=49,"0")</f>
        <v>0.05</v>
      </c>
      <c r="P86" s="8">
        <f>RAW[[#This Row],[Salary]]*RAW[[#This Row],[Eligible Bonus Amount]]</f>
        <v>2614.3500000000004</v>
      </c>
    </row>
    <row r="87" spans="1:16" x14ac:dyDescent="0.25">
      <c r="A87" s="14" t="s">
        <v>121</v>
      </c>
      <c r="B87" s="14" t="s">
        <v>242</v>
      </c>
      <c r="C87" t="s">
        <v>8</v>
      </c>
      <c r="D87" s="14" t="str">
        <f t="shared" si="4"/>
        <v>IT02</v>
      </c>
      <c r="E87" s="14" t="str">
        <f>VLOOKUP(RAW[[#This Row],[Dept Code]],Table4[#All],2,FALSE)</f>
        <v>Information Technology</v>
      </c>
      <c r="F87" s="2">
        <v>44073</v>
      </c>
      <c r="G87" s="6">
        <f ca="1">DATEDIF(RAW[[#This Row],[Hire Date]], TODAY(), "Y")</f>
        <v>5</v>
      </c>
      <c r="H87" s="12">
        <v>82633</v>
      </c>
      <c r="I87" s="12" cm="1">
        <f t="array" ref="I87">IF(H87="",MEDIAN(IF(($E$2:$E$151=E87)*($H$2:$H$151&lt;&gt;""),$H$2:$H$151)),H87)</f>
        <v>82633</v>
      </c>
      <c r="J87" s="6">
        <v>98</v>
      </c>
      <c r="K87" s="14" t="str" cm="1">
        <f t="array" ref="K87">_xlfn.IFS(RAW[[#This Row],[Perf_Score]]&gt;=95,"Outstanding",RAW[[#This Row],[Perf_Score]]&gt;=85,"Exceeding",RAW[[#This Row],[Perf_Score]]&gt;=70,"Achieving",RAW[[#This Row],[Perf_Score]]&gt;=50,"Developing",RAW[[#This Row],[Perf_Score]]&lt;=49,"Needs Improvement")</f>
        <v>Outstanding</v>
      </c>
      <c r="L87" s="14" t="s">
        <v>296</v>
      </c>
      <c r="M87" s="17">
        <f>IF(OR(RAW[[#This Row],[Employment Status]]="Left",RAW[[#This Row],[Employment Status]]="Resigned" ), 1, 0)</f>
        <v>0</v>
      </c>
      <c r="N87" s="17" t="str" cm="1">
        <f t="array" ref="N87">_xlfn.IFS(RAW[[#This Row],[Left/Resigned Band]]=0,"Active",RAW[[#This Row],[Left/Resigned Band]]=1,"Left")</f>
        <v>Active</v>
      </c>
      <c r="O87" s="22" t="str" cm="1">
        <f t="array" ref="O87">_xlfn.IFS(RAW[[#This Row],[Perf_Score]]&gt;=95,"0.12",RAW[[#This Row],[Perf_Score]]&gt;=85,"0.08",RAW[[#This Row],[Perf_Score]]&gt;=70,"0.05",RAW[[#This Row],[Perf_Score]]&gt;=50,"0.02",RAW[[#This Row],[Perf_Score]]&lt;=49,"0")</f>
        <v>0.12</v>
      </c>
      <c r="P87" s="8">
        <f>RAW[[#This Row],[Salary]]*RAW[[#This Row],[Eligible Bonus Amount]]</f>
        <v>9915.9599999999991</v>
      </c>
    </row>
    <row r="88" spans="1:16" x14ac:dyDescent="0.25">
      <c r="A88" s="14" t="s">
        <v>122</v>
      </c>
      <c r="B88" s="14" t="s">
        <v>256</v>
      </c>
      <c r="C88" t="s">
        <v>23</v>
      </c>
      <c r="D88" s="14" t="str">
        <f t="shared" si="4"/>
        <v>OPS06</v>
      </c>
      <c r="E88" s="14" t="str">
        <f>VLOOKUP(RAW[[#This Row],[Dept Code]],Table4[#All],2,FALSE)</f>
        <v>Operations</v>
      </c>
      <c r="F88" s="2">
        <v>44422</v>
      </c>
      <c r="G88" s="6">
        <f ca="1">DATEDIF(RAW[[#This Row],[Hire Date]], TODAY(), "Y")</f>
        <v>4</v>
      </c>
      <c r="H88" s="12">
        <v>46508</v>
      </c>
      <c r="I88" s="12" cm="1">
        <f t="array" ref="I88">IF(H88="",MEDIAN(IF(($E$2:$E$151=E88)*($H$2:$H$151&lt;&gt;""),$H$2:$H$151)),H88)</f>
        <v>46508</v>
      </c>
      <c r="J88" s="6">
        <v>34</v>
      </c>
      <c r="K88" s="14" t="str" cm="1">
        <f t="array" ref="K88">_xlfn.IFS(RAW[[#This Row],[Perf_Score]]&gt;=95,"Outstanding",RAW[[#This Row],[Perf_Score]]&gt;=85,"Exceeding",RAW[[#This Row],[Perf_Score]]&gt;=70,"Achieving",RAW[[#This Row],[Perf_Score]]&gt;=50,"Developing",RAW[[#This Row],[Perf_Score]]&lt;=49,"Needs Improvement")</f>
        <v>Needs Improvement</v>
      </c>
      <c r="L88" s="14" t="s">
        <v>29</v>
      </c>
      <c r="M88" s="17">
        <f>IF(OR(RAW[[#This Row],[Employment Status]]="Left",RAW[[#This Row],[Employment Status]]="Resigned" ), 1, 0)</f>
        <v>0</v>
      </c>
      <c r="N88" s="17" t="str" cm="1">
        <f t="array" ref="N88">_xlfn.IFS(RAW[[#This Row],[Left/Resigned Band]]=0,"Active",RAW[[#This Row],[Left/Resigned Band]]=1,"Left")</f>
        <v>Active</v>
      </c>
      <c r="O88" s="22" t="str" cm="1">
        <f t="array" ref="O88">_xlfn.IFS(RAW[[#This Row],[Perf_Score]]&gt;=95,"0.12",RAW[[#This Row],[Perf_Score]]&gt;=85,"0.08",RAW[[#This Row],[Perf_Score]]&gt;=70,"0.05",RAW[[#This Row],[Perf_Score]]&gt;=50,"0.02",RAW[[#This Row],[Perf_Score]]&lt;=49,"0")</f>
        <v>0</v>
      </c>
      <c r="P88" s="8">
        <f>RAW[[#This Row],[Salary]]*RAW[[#This Row],[Eligible Bonus Amount]]</f>
        <v>0</v>
      </c>
    </row>
    <row r="89" spans="1:16" x14ac:dyDescent="0.25">
      <c r="A89" s="14" t="s">
        <v>123</v>
      </c>
      <c r="B89" s="14" t="s">
        <v>189</v>
      </c>
      <c r="C89" t="s">
        <v>91</v>
      </c>
      <c r="D89" s="14" t="str">
        <f t="shared" si="4"/>
        <v>HR01</v>
      </c>
      <c r="E89" s="14" t="str">
        <f>VLOOKUP(RAW[[#This Row],[Dept Code]],Table4[#All],2,FALSE)</f>
        <v>Human Resources</v>
      </c>
      <c r="F89" s="2">
        <v>43796</v>
      </c>
      <c r="G89" s="6">
        <f ca="1">DATEDIF(RAW[[#This Row],[Hire Date]], TODAY(), "Y")</f>
        <v>6</v>
      </c>
      <c r="H89" s="12">
        <v>86232</v>
      </c>
      <c r="I89" s="12" cm="1">
        <f t="array" ref="I89">IF(H89="",MEDIAN(IF(($E$2:$E$151=E89)*($H$2:$H$151&lt;&gt;""),$H$2:$H$151)),H89)</f>
        <v>86232</v>
      </c>
      <c r="J89" s="6">
        <v>93</v>
      </c>
      <c r="K89" s="14" t="str" cm="1">
        <f t="array" ref="K89">_xlfn.IFS(RAW[[#This Row],[Perf_Score]]&gt;=95,"Outstanding",RAW[[#This Row],[Perf_Score]]&gt;=85,"Exceeding",RAW[[#This Row],[Perf_Score]]&gt;=70,"Achieving",RAW[[#This Row],[Perf_Score]]&gt;=50,"Developing",RAW[[#This Row],[Perf_Score]]&lt;=49,"Needs Improvement")</f>
        <v>Exceeding</v>
      </c>
      <c r="L89" s="14" t="s">
        <v>29</v>
      </c>
      <c r="M89" s="17">
        <f>IF(OR(RAW[[#This Row],[Employment Status]]="Left",RAW[[#This Row],[Employment Status]]="Resigned" ), 1, 0)</f>
        <v>0</v>
      </c>
      <c r="N89" s="17" t="str" cm="1">
        <f t="array" ref="N89">_xlfn.IFS(RAW[[#This Row],[Left/Resigned Band]]=0,"Active",RAW[[#This Row],[Left/Resigned Band]]=1,"Left")</f>
        <v>Active</v>
      </c>
      <c r="O89" s="22" t="str" cm="1">
        <f t="array" ref="O89">_xlfn.IFS(RAW[[#This Row],[Perf_Score]]&gt;=95,"0.12",RAW[[#This Row],[Perf_Score]]&gt;=85,"0.08",RAW[[#This Row],[Perf_Score]]&gt;=70,"0.05",RAW[[#This Row],[Perf_Score]]&gt;=50,"0.02",RAW[[#This Row],[Perf_Score]]&lt;=49,"0")</f>
        <v>0.08</v>
      </c>
      <c r="P89" s="8">
        <f>RAW[[#This Row],[Salary]]*RAW[[#This Row],[Eligible Bonus Amount]]</f>
        <v>6898.56</v>
      </c>
    </row>
    <row r="90" spans="1:16" x14ac:dyDescent="0.25">
      <c r="A90" s="14" t="s">
        <v>124</v>
      </c>
      <c r="B90" s="14" t="s">
        <v>230</v>
      </c>
      <c r="C90" t="s">
        <v>56</v>
      </c>
      <c r="D90" s="14" t="str">
        <f t="shared" si="4"/>
        <v>IT02</v>
      </c>
      <c r="E90" s="14" t="str">
        <f>VLOOKUP(RAW[[#This Row],[Dept Code]],Table4[#All],2,FALSE)</f>
        <v>Information Technology</v>
      </c>
      <c r="F90" s="2">
        <v>42880</v>
      </c>
      <c r="G90" s="6">
        <f ca="1">DATEDIF(RAW[[#This Row],[Hire Date]], TODAY(), "Y")</f>
        <v>9</v>
      </c>
      <c r="H90" s="12">
        <v>77545</v>
      </c>
      <c r="I90" s="12" cm="1">
        <f t="array" ref="I90">IF(H90="",MEDIAN(IF(($E$2:$E$151=E90)*($H$2:$H$151&lt;&gt;""),$H$2:$H$151)),H90)</f>
        <v>77545</v>
      </c>
      <c r="J90" s="6">
        <v>48</v>
      </c>
      <c r="K90" s="14" t="str" cm="1">
        <f t="array" ref="K90">_xlfn.IFS(RAW[[#This Row],[Perf_Score]]&gt;=95,"Outstanding",RAW[[#This Row],[Perf_Score]]&gt;=85,"Exceeding",RAW[[#This Row],[Perf_Score]]&gt;=70,"Achieving",RAW[[#This Row],[Perf_Score]]&gt;=50,"Developing",RAW[[#This Row],[Perf_Score]]&lt;=49,"Needs Improvement")</f>
        <v>Needs Improvement</v>
      </c>
      <c r="L90" s="14" t="s">
        <v>29</v>
      </c>
      <c r="M90" s="17">
        <f>IF(OR(RAW[[#This Row],[Employment Status]]="Left",RAW[[#This Row],[Employment Status]]="Resigned" ), 1, 0)</f>
        <v>0</v>
      </c>
      <c r="N90" s="17" t="str" cm="1">
        <f t="array" ref="N90">_xlfn.IFS(RAW[[#This Row],[Left/Resigned Band]]=0,"Active",RAW[[#This Row],[Left/Resigned Band]]=1,"Left")</f>
        <v>Active</v>
      </c>
      <c r="O90" s="22" t="str" cm="1">
        <f t="array" ref="O90">_xlfn.IFS(RAW[[#This Row],[Perf_Score]]&gt;=95,"0.12",RAW[[#This Row],[Perf_Score]]&gt;=85,"0.08",RAW[[#This Row],[Perf_Score]]&gt;=70,"0.05",RAW[[#This Row],[Perf_Score]]&gt;=50,"0.02",RAW[[#This Row],[Perf_Score]]&lt;=49,"0")</f>
        <v>0</v>
      </c>
      <c r="P90" s="8">
        <f>RAW[[#This Row],[Salary]]*RAW[[#This Row],[Eligible Bonus Amount]]</f>
        <v>0</v>
      </c>
    </row>
    <row r="91" spans="1:16" x14ac:dyDescent="0.25">
      <c r="A91" s="14" t="s">
        <v>125</v>
      </c>
      <c r="B91" s="14" t="s">
        <v>257</v>
      </c>
      <c r="C91" t="s">
        <v>23</v>
      </c>
      <c r="D91" s="14" t="str">
        <f t="shared" si="4"/>
        <v>OPS06</v>
      </c>
      <c r="E91" s="14" t="str">
        <f>VLOOKUP(RAW[[#This Row],[Dept Code]],Table4[#All],2,FALSE)</f>
        <v>Operations</v>
      </c>
      <c r="F91" s="2">
        <v>43436</v>
      </c>
      <c r="G91" s="6">
        <f ca="1">DATEDIF(RAW[[#This Row],[Hire Date]], TODAY(), "Y")</f>
        <v>7</v>
      </c>
      <c r="H91" s="12">
        <v>68683</v>
      </c>
      <c r="I91" s="12" cm="1">
        <f t="array" ref="I91">IF(H91="",MEDIAN(IF(($E$2:$E$151=E91)*($H$2:$H$151&lt;&gt;""),$H$2:$H$151)),H91)</f>
        <v>68683</v>
      </c>
      <c r="J91" s="6">
        <v>90</v>
      </c>
      <c r="K91" s="14" t="str" cm="1">
        <f t="array" ref="K91">_xlfn.IFS(RAW[[#This Row],[Perf_Score]]&gt;=95,"Outstanding",RAW[[#This Row],[Perf_Score]]&gt;=85,"Exceeding",RAW[[#This Row],[Perf_Score]]&gt;=70,"Achieving",RAW[[#This Row],[Perf_Score]]&gt;=50,"Developing",RAW[[#This Row],[Perf_Score]]&lt;=49,"Needs Improvement")</f>
        <v>Exceeding</v>
      </c>
      <c r="L91" s="14" t="s">
        <v>29</v>
      </c>
      <c r="M91" s="17">
        <f>IF(OR(RAW[[#This Row],[Employment Status]]="Left",RAW[[#This Row],[Employment Status]]="Resigned" ), 1, 0)</f>
        <v>0</v>
      </c>
      <c r="N91" s="17" t="str" cm="1">
        <f t="array" ref="N91">_xlfn.IFS(RAW[[#This Row],[Left/Resigned Band]]=0,"Active",RAW[[#This Row],[Left/Resigned Band]]=1,"Left")</f>
        <v>Active</v>
      </c>
      <c r="O91" s="22" t="str" cm="1">
        <f t="array" ref="O91">_xlfn.IFS(RAW[[#This Row],[Perf_Score]]&gt;=95,"0.12",RAW[[#This Row],[Perf_Score]]&gt;=85,"0.08",RAW[[#This Row],[Perf_Score]]&gt;=70,"0.05",RAW[[#This Row],[Perf_Score]]&gt;=50,"0.02",RAW[[#This Row],[Perf_Score]]&lt;=49,"0")</f>
        <v>0.08</v>
      </c>
      <c r="P91" s="8">
        <f>RAW[[#This Row],[Salary]]*RAW[[#This Row],[Eligible Bonus Amount]]</f>
        <v>5494.64</v>
      </c>
    </row>
    <row r="92" spans="1:16" x14ac:dyDescent="0.25">
      <c r="A92" s="14" t="s">
        <v>126</v>
      </c>
      <c r="B92" s="14" t="s">
        <v>240</v>
      </c>
      <c r="C92" t="s">
        <v>16</v>
      </c>
      <c r="D92" s="14" t="str">
        <f t="shared" si="4"/>
        <v>FIN03</v>
      </c>
      <c r="E92" s="14" t="str">
        <f>VLOOKUP(RAW[[#This Row],[Dept Code]],Table4[#All],2,FALSE)</f>
        <v>Finance</v>
      </c>
      <c r="F92" s="2">
        <v>43639</v>
      </c>
      <c r="G92" s="6">
        <f ca="1">DATEDIF(RAW[[#This Row],[Hire Date]], TODAY(), "Y")</f>
        <v>7</v>
      </c>
      <c r="H92" s="12">
        <v>83932</v>
      </c>
      <c r="I92" s="12" cm="1">
        <f t="array" ref="I92">IF(H92="",MEDIAN(IF(($E$2:$E$151=E92)*($H$2:$H$151&lt;&gt;""),$H$2:$H$151)),H92)</f>
        <v>83932</v>
      </c>
      <c r="J92" s="6">
        <v>57</v>
      </c>
      <c r="K92" s="14" t="str" cm="1">
        <f t="array" ref="K92">_xlfn.IFS(RAW[[#This Row],[Perf_Score]]&gt;=95,"Outstanding",RAW[[#This Row],[Perf_Score]]&gt;=85,"Exceeding",RAW[[#This Row],[Perf_Score]]&gt;=70,"Achieving",RAW[[#This Row],[Perf_Score]]&gt;=50,"Developing",RAW[[#This Row],[Perf_Score]]&lt;=49,"Needs Improvement")</f>
        <v>Developing</v>
      </c>
      <c r="L92" s="14" t="s">
        <v>19</v>
      </c>
      <c r="M92" s="17">
        <f>IF(OR(RAW[[#This Row],[Employment Status]]="Left",RAW[[#This Row],[Employment Status]]="Resigned" ), 1, 0)</f>
        <v>1</v>
      </c>
      <c r="N92" s="17" t="str" cm="1">
        <f t="array" ref="N92">_xlfn.IFS(RAW[[#This Row],[Left/Resigned Band]]=0,"Active",RAW[[#This Row],[Left/Resigned Band]]=1,"Left")</f>
        <v>Left</v>
      </c>
      <c r="O92" s="22" t="str" cm="1">
        <f t="array" ref="O92">_xlfn.IFS(RAW[[#This Row],[Perf_Score]]&gt;=95,"0.12",RAW[[#This Row],[Perf_Score]]&gt;=85,"0.08",RAW[[#This Row],[Perf_Score]]&gt;=70,"0.05",RAW[[#This Row],[Perf_Score]]&gt;=50,"0.02",RAW[[#This Row],[Perf_Score]]&lt;=49,"0")</f>
        <v>0.02</v>
      </c>
      <c r="P92" s="8">
        <f>RAW[[#This Row],[Salary]]*RAW[[#This Row],[Eligible Bonus Amount]]</f>
        <v>1678.64</v>
      </c>
    </row>
    <row r="93" spans="1:16" x14ac:dyDescent="0.25">
      <c r="A93" s="14" t="s">
        <v>127</v>
      </c>
      <c r="B93" s="14" t="s">
        <v>258</v>
      </c>
      <c r="C93" t="s">
        <v>64</v>
      </c>
      <c r="D93" s="14" t="str">
        <f t="shared" si="4"/>
        <v>HR01</v>
      </c>
      <c r="E93" s="14" t="str">
        <f>VLOOKUP(RAW[[#This Row],[Dept Code]],Table4[#All],2,FALSE)</f>
        <v>Human Resources</v>
      </c>
      <c r="F93" s="2">
        <v>42304</v>
      </c>
      <c r="G93" s="6">
        <f ca="1">DATEDIF(RAW[[#This Row],[Hire Date]], TODAY(), "Y")</f>
        <v>10</v>
      </c>
      <c r="H93" s="12">
        <v>56073</v>
      </c>
      <c r="I93" s="12" cm="1">
        <f t="array" ref="I93">IF(H93="",MEDIAN(IF(($E$2:$E$151=E93)*($H$2:$H$151&lt;&gt;""),$H$2:$H$151)),H93)</f>
        <v>56073</v>
      </c>
      <c r="J93" s="6">
        <v>79</v>
      </c>
      <c r="K93" s="14" t="str" cm="1">
        <f t="array" ref="K93">_xlfn.IFS(RAW[[#This Row],[Perf_Score]]&gt;=95,"Outstanding",RAW[[#This Row],[Perf_Score]]&gt;=85,"Exceeding",RAW[[#This Row],[Perf_Score]]&gt;=70,"Achieving",RAW[[#This Row],[Perf_Score]]&gt;=50,"Developing",RAW[[#This Row],[Perf_Score]]&lt;=49,"Needs Improvement")</f>
        <v>Achieving</v>
      </c>
      <c r="L93" s="14" t="s">
        <v>29</v>
      </c>
      <c r="M93" s="17">
        <f>IF(OR(RAW[[#This Row],[Employment Status]]="Left",RAW[[#This Row],[Employment Status]]="Resigned" ), 1, 0)</f>
        <v>0</v>
      </c>
      <c r="N93" s="17" t="str" cm="1">
        <f t="array" ref="N93">_xlfn.IFS(RAW[[#This Row],[Left/Resigned Band]]=0,"Active",RAW[[#This Row],[Left/Resigned Band]]=1,"Left")</f>
        <v>Active</v>
      </c>
      <c r="O93" s="22" t="str" cm="1">
        <f t="array" ref="O93">_xlfn.IFS(RAW[[#This Row],[Perf_Score]]&gt;=95,"0.12",RAW[[#This Row],[Perf_Score]]&gt;=85,"0.08",RAW[[#This Row],[Perf_Score]]&gt;=70,"0.05",RAW[[#This Row],[Perf_Score]]&gt;=50,"0.02",RAW[[#This Row],[Perf_Score]]&lt;=49,"0")</f>
        <v>0.05</v>
      </c>
      <c r="P93" s="8">
        <f>RAW[[#This Row],[Salary]]*RAW[[#This Row],[Eligible Bonus Amount]]</f>
        <v>2803.65</v>
      </c>
    </row>
    <row r="94" spans="1:16" x14ac:dyDescent="0.25">
      <c r="A94" s="14" t="s">
        <v>128</v>
      </c>
      <c r="B94" s="14" t="s">
        <v>226</v>
      </c>
      <c r="C94" t="s">
        <v>14</v>
      </c>
      <c r="D94" s="14" t="str">
        <f t="shared" si="4"/>
        <v>IT02</v>
      </c>
      <c r="E94" s="14" t="str">
        <f>VLOOKUP(RAW[[#This Row],[Dept Code]],Table4[#All],2,FALSE)</f>
        <v>Information Technology</v>
      </c>
      <c r="F94" s="2">
        <v>43270</v>
      </c>
      <c r="G94" s="6">
        <f ca="1">DATEDIF(RAW[[#This Row],[Hire Date]], TODAY(), "Y")</f>
        <v>8</v>
      </c>
      <c r="H94" s="12">
        <v>88056</v>
      </c>
      <c r="I94" s="12" cm="1">
        <f t="array" ref="I94">IF(H94="",MEDIAN(IF(($E$2:$E$151=E94)*($H$2:$H$151&lt;&gt;""),$H$2:$H$151)),H94)</f>
        <v>88056</v>
      </c>
      <c r="J94" s="6">
        <v>66</v>
      </c>
      <c r="K94" s="14" t="str" cm="1">
        <f t="array" ref="K94">_xlfn.IFS(RAW[[#This Row],[Perf_Score]]&gt;=95,"Outstanding",RAW[[#This Row],[Perf_Score]]&gt;=85,"Exceeding",RAW[[#This Row],[Perf_Score]]&gt;=70,"Achieving",RAW[[#This Row],[Perf_Score]]&gt;=50,"Developing",RAW[[#This Row],[Perf_Score]]&lt;=49,"Needs Improvement")</f>
        <v>Developing</v>
      </c>
      <c r="L94" s="14" t="s">
        <v>29</v>
      </c>
      <c r="M94" s="17">
        <f>IF(OR(RAW[[#This Row],[Employment Status]]="Left",RAW[[#This Row],[Employment Status]]="Resigned" ), 1, 0)</f>
        <v>0</v>
      </c>
      <c r="N94" s="17" t="str" cm="1">
        <f t="array" ref="N94">_xlfn.IFS(RAW[[#This Row],[Left/Resigned Band]]=0,"Active",RAW[[#This Row],[Left/Resigned Band]]=1,"Left")</f>
        <v>Active</v>
      </c>
      <c r="O94" s="22" t="str" cm="1">
        <f t="array" ref="O94">_xlfn.IFS(RAW[[#This Row],[Perf_Score]]&gt;=95,"0.12",RAW[[#This Row],[Perf_Score]]&gt;=85,"0.08",RAW[[#This Row],[Perf_Score]]&gt;=70,"0.05",RAW[[#This Row],[Perf_Score]]&gt;=50,"0.02",RAW[[#This Row],[Perf_Score]]&lt;=49,"0")</f>
        <v>0.02</v>
      </c>
      <c r="P94" s="8">
        <f>RAW[[#This Row],[Salary]]*RAW[[#This Row],[Eligible Bonus Amount]]</f>
        <v>1761.1200000000001</v>
      </c>
    </row>
    <row r="95" spans="1:16" x14ac:dyDescent="0.25">
      <c r="A95" s="14" t="s">
        <v>129</v>
      </c>
      <c r="B95" s="14" t="s">
        <v>259</v>
      </c>
      <c r="C95" t="s">
        <v>110</v>
      </c>
      <c r="D95" s="14" t="str">
        <f t="shared" si="4"/>
        <v>OPS06</v>
      </c>
      <c r="E95" s="14" t="str">
        <f>VLOOKUP(RAW[[#This Row],[Dept Code]],Table4[#All],2,FALSE)</f>
        <v>Operations</v>
      </c>
      <c r="F95" s="2">
        <v>43112</v>
      </c>
      <c r="G95" s="6">
        <f ca="1">DATEDIF(RAW[[#This Row],[Hire Date]], TODAY(), "Y")</f>
        <v>8</v>
      </c>
      <c r="H95" s="12">
        <v>67414</v>
      </c>
      <c r="I95" s="12" cm="1">
        <f t="array" ref="I95">IF(H95="",MEDIAN(IF(($E$2:$E$151=E95)*($H$2:$H$151&lt;&gt;""),$H$2:$H$151)),H95)</f>
        <v>67414</v>
      </c>
      <c r="J95" s="6">
        <v>84</v>
      </c>
      <c r="K95" s="14" t="str" cm="1">
        <f t="array" ref="K95">_xlfn.IFS(RAW[[#This Row],[Perf_Score]]&gt;=95,"Outstanding",RAW[[#This Row],[Perf_Score]]&gt;=85,"Exceeding",RAW[[#This Row],[Perf_Score]]&gt;=70,"Achieving",RAW[[#This Row],[Perf_Score]]&gt;=50,"Developing",RAW[[#This Row],[Perf_Score]]&lt;=49,"Needs Improvement")</f>
        <v>Achieving</v>
      </c>
      <c r="L95" s="14" t="s">
        <v>19</v>
      </c>
      <c r="M95" s="17">
        <f>IF(OR(RAW[[#This Row],[Employment Status]]="Left",RAW[[#This Row],[Employment Status]]="Resigned" ), 1, 0)</f>
        <v>1</v>
      </c>
      <c r="N95" s="17" t="str" cm="1">
        <f t="array" ref="N95">_xlfn.IFS(RAW[[#This Row],[Left/Resigned Band]]=0,"Active",RAW[[#This Row],[Left/Resigned Band]]=1,"Left")</f>
        <v>Left</v>
      </c>
      <c r="O95" s="22" t="str" cm="1">
        <f t="array" ref="O95">_xlfn.IFS(RAW[[#This Row],[Perf_Score]]&gt;=95,"0.12",RAW[[#This Row],[Perf_Score]]&gt;=85,"0.08",RAW[[#This Row],[Perf_Score]]&gt;=70,"0.05",RAW[[#This Row],[Perf_Score]]&gt;=50,"0.02",RAW[[#This Row],[Perf_Score]]&lt;=49,"0")</f>
        <v>0.05</v>
      </c>
      <c r="P95" s="8">
        <f>RAW[[#This Row],[Salary]]*RAW[[#This Row],[Eligible Bonus Amount]]</f>
        <v>3370.7000000000003</v>
      </c>
    </row>
    <row r="96" spans="1:16" x14ac:dyDescent="0.25">
      <c r="A96" s="14" t="s">
        <v>130</v>
      </c>
      <c r="B96" s="14" t="s">
        <v>257</v>
      </c>
      <c r="C96" t="s">
        <v>28</v>
      </c>
      <c r="D96" s="14" t="str">
        <f t="shared" si="4"/>
        <v>SAL05</v>
      </c>
      <c r="E96" s="14" t="str">
        <f>VLOOKUP(RAW[[#This Row],[Dept Code]],Table4[#All],2,FALSE)</f>
        <v>Sales</v>
      </c>
      <c r="F96" s="2">
        <v>42008</v>
      </c>
      <c r="G96" s="6">
        <f ca="1">DATEDIF(RAW[[#This Row],[Hire Date]], TODAY(), "Y")</f>
        <v>11</v>
      </c>
      <c r="H96" s="12">
        <v>115288</v>
      </c>
      <c r="I96" s="12" cm="1">
        <f t="array" ref="I96">IF(H96="",MEDIAN(IF(($E$2:$E$151=E96)*($H$2:$H$151&lt;&gt;""),$H$2:$H$151)),H96)</f>
        <v>115288</v>
      </c>
      <c r="J96" s="6">
        <v>61</v>
      </c>
      <c r="K96" s="14" t="str" cm="1">
        <f t="array" ref="K96">_xlfn.IFS(RAW[[#This Row],[Perf_Score]]&gt;=95,"Outstanding",RAW[[#This Row],[Perf_Score]]&gt;=85,"Exceeding",RAW[[#This Row],[Perf_Score]]&gt;=70,"Achieving",RAW[[#This Row],[Perf_Score]]&gt;=50,"Developing",RAW[[#This Row],[Perf_Score]]&lt;=49,"Needs Improvement")</f>
        <v>Developing</v>
      </c>
      <c r="L96" s="14" t="s">
        <v>29</v>
      </c>
      <c r="M96" s="17">
        <f>IF(OR(RAW[[#This Row],[Employment Status]]="Left",RAW[[#This Row],[Employment Status]]="Resigned" ), 1, 0)</f>
        <v>0</v>
      </c>
      <c r="N96" s="17" t="str" cm="1">
        <f t="array" ref="N96">_xlfn.IFS(RAW[[#This Row],[Left/Resigned Band]]=0,"Active",RAW[[#This Row],[Left/Resigned Band]]=1,"Left")</f>
        <v>Active</v>
      </c>
      <c r="O96" s="22" t="str" cm="1">
        <f t="array" ref="O96">_xlfn.IFS(RAW[[#This Row],[Perf_Score]]&gt;=95,"0.12",RAW[[#This Row],[Perf_Score]]&gt;=85,"0.08",RAW[[#This Row],[Perf_Score]]&gt;=70,"0.05",RAW[[#This Row],[Perf_Score]]&gt;=50,"0.02",RAW[[#This Row],[Perf_Score]]&lt;=49,"0")</f>
        <v>0.02</v>
      </c>
      <c r="P96" s="8">
        <f>RAW[[#This Row],[Salary]]*RAW[[#This Row],[Eligible Bonus Amount]]</f>
        <v>2305.7600000000002</v>
      </c>
    </row>
    <row r="97" spans="1:16" x14ac:dyDescent="0.25">
      <c r="A97" s="14" t="s">
        <v>131</v>
      </c>
      <c r="B97" s="14" t="s">
        <v>18</v>
      </c>
      <c r="C97" t="s">
        <v>28</v>
      </c>
      <c r="D97" s="14" t="str">
        <f t="shared" si="4"/>
        <v>SAL05</v>
      </c>
      <c r="E97" s="14" t="str">
        <f>VLOOKUP(RAW[[#This Row],[Dept Code]],Table4[#All],2,FALSE)</f>
        <v>Sales</v>
      </c>
      <c r="F97" s="2">
        <v>43439</v>
      </c>
      <c r="G97" s="6">
        <f ca="1">DATEDIF(RAW[[#This Row],[Hire Date]], TODAY(), "Y")</f>
        <v>7</v>
      </c>
      <c r="H97" s="12">
        <v>80140</v>
      </c>
      <c r="I97" s="12" cm="1">
        <f t="array" ref="I97">IF(H97="",MEDIAN(IF(($E$2:$E$151=E97)*($H$2:$H$151&lt;&gt;""),$H$2:$H$151)),H97)</f>
        <v>80140</v>
      </c>
      <c r="J97" s="6">
        <v>58</v>
      </c>
      <c r="K97" s="14" t="str" cm="1">
        <f t="array" ref="K97">_xlfn.IFS(RAW[[#This Row],[Perf_Score]]&gt;=95,"Outstanding",RAW[[#This Row],[Perf_Score]]&gt;=85,"Exceeding",RAW[[#This Row],[Perf_Score]]&gt;=70,"Achieving",RAW[[#This Row],[Perf_Score]]&gt;=50,"Developing",RAW[[#This Row],[Perf_Score]]&lt;=49,"Needs Improvement")</f>
        <v>Developing</v>
      </c>
      <c r="L97" s="14" t="s">
        <v>29</v>
      </c>
      <c r="M97" s="17">
        <f>IF(OR(RAW[[#This Row],[Employment Status]]="Left",RAW[[#This Row],[Employment Status]]="Resigned" ), 1, 0)</f>
        <v>0</v>
      </c>
      <c r="N97" s="17" t="str" cm="1">
        <f t="array" ref="N97">_xlfn.IFS(RAW[[#This Row],[Left/Resigned Band]]=0,"Active",RAW[[#This Row],[Left/Resigned Band]]=1,"Left")</f>
        <v>Active</v>
      </c>
      <c r="O97" s="22" t="str" cm="1">
        <f t="array" ref="O97">_xlfn.IFS(RAW[[#This Row],[Perf_Score]]&gt;=95,"0.12",RAW[[#This Row],[Perf_Score]]&gt;=85,"0.08",RAW[[#This Row],[Perf_Score]]&gt;=70,"0.05",RAW[[#This Row],[Perf_Score]]&gt;=50,"0.02",RAW[[#This Row],[Perf_Score]]&lt;=49,"0")</f>
        <v>0.02</v>
      </c>
      <c r="P97" s="8">
        <f>RAW[[#This Row],[Salary]]*RAW[[#This Row],[Eligible Bonus Amount]]</f>
        <v>1602.8</v>
      </c>
    </row>
    <row r="98" spans="1:16" x14ac:dyDescent="0.25">
      <c r="A98" s="14" t="s">
        <v>132</v>
      </c>
      <c r="B98" s="14" t="s">
        <v>255</v>
      </c>
      <c r="C98" t="s">
        <v>8</v>
      </c>
      <c r="D98" s="14" t="str">
        <f t="shared" ref="D98:D129" si="6">UPPER(TRIM(C98))</f>
        <v>IT02</v>
      </c>
      <c r="E98" s="14" t="str">
        <f>VLOOKUP(RAW[[#This Row],[Dept Code]],Table4[#All],2,FALSE)</f>
        <v>Information Technology</v>
      </c>
      <c r="F98" s="2">
        <v>44482</v>
      </c>
      <c r="G98" s="6">
        <f ca="1">DATEDIF(RAW[[#This Row],[Hire Date]], TODAY(), "Y")</f>
        <v>4</v>
      </c>
      <c r="H98" s="12">
        <v>73087</v>
      </c>
      <c r="I98" s="12" cm="1">
        <f t="array" ref="I98">IF(H98="",MEDIAN(IF(($E$2:$E$151=E98)*($H$2:$H$151&lt;&gt;""),$H$2:$H$151)),H98)</f>
        <v>73087</v>
      </c>
      <c r="J98" s="6">
        <v>69</v>
      </c>
      <c r="K98" s="14" t="str" cm="1">
        <f t="array" ref="K98">_xlfn.IFS(RAW[[#This Row],[Perf_Score]]&gt;=95,"Outstanding",RAW[[#This Row],[Perf_Score]]&gt;=85,"Exceeding",RAW[[#This Row],[Perf_Score]]&gt;=70,"Achieving",RAW[[#This Row],[Perf_Score]]&gt;=50,"Developing",RAW[[#This Row],[Perf_Score]]&lt;=49,"Needs Improvement")</f>
        <v>Developing</v>
      </c>
      <c r="L98" s="14" t="s">
        <v>29</v>
      </c>
      <c r="M98" s="17">
        <f>IF(OR(RAW[[#This Row],[Employment Status]]="Left",RAW[[#This Row],[Employment Status]]="Resigned" ), 1, 0)</f>
        <v>0</v>
      </c>
      <c r="N98" s="17" t="str" cm="1">
        <f t="array" ref="N98">_xlfn.IFS(RAW[[#This Row],[Left/Resigned Band]]=0,"Active",RAW[[#This Row],[Left/Resigned Band]]=1,"Left")</f>
        <v>Active</v>
      </c>
      <c r="O98" s="22" t="str" cm="1">
        <f t="array" ref="O98">_xlfn.IFS(RAW[[#This Row],[Perf_Score]]&gt;=95,"0.12",RAW[[#This Row],[Perf_Score]]&gt;=85,"0.08",RAW[[#This Row],[Perf_Score]]&gt;=70,"0.05",RAW[[#This Row],[Perf_Score]]&gt;=50,"0.02",RAW[[#This Row],[Perf_Score]]&lt;=49,"0")</f>
        <v>0.02</v>
      </c>
      <c r="P98" s="8">
        <f>RAW[[#This Row],[Salary]]*RAW[[#This Row],[Eligible Bonus Amount]]</f>
        <v>1461.74</v>
      </c>
    </row>
    <row r="99" spans="1:16" x14ac:dyDescent="0.25">
      <c r="A99" s="14" t="s">
        <v>133</v>
      </c>
      <c r="B99" s="14" t="s">
        <v>260</v>
      </c>
      <c r="C99" t="s">
        <v>53</v>
      </c>
      <c r="D99" s="14" t="str">
        <f t="shared" si="6"/>
        <v>SAL05</v>
      </c>
      <c r="E99" s="14" t="str">
        <f>VLOOKUP(RAW[[#This Row],[Dept Code]],Table4[#All],2,FALSE)</f>
        <v>Sales</v>
      </c>
      <c r="F99" s="2">
        <v>44081</v>
      </c>
      <c r="G99" s="6">
        <f ca="1">DATEDIF(RAW[[#This Row],[Hire Date]], TODAY(), "Y")</f>
        <v>5</v>
      </c>
      <c r="H99" s="12">
        <v>95292</v>
      </c>
      <c r="I99" s="12" cm="1">
        <f t="array" ref="I99">IF(H99="",MEDIAN(IF(($E$2:$E$151=E99)*($H$2:$H$151&lt;&gt;""),$H$2:$H$151)),H99)</f>
        <v>95292</v>
      </c>
      <c r="J99" s="6">
        <v>34</v>
      </c>
      <c r="K99" s="14" t="str" cm="1">
        <f t="array" ref="K99">_xlfn.IFS(RAW[[#This Row],[Perf_Score]]&gt;=95,"Outstanding",RAW[[#This Row],[Perf_Score]]&gt;=85,"Exceeding",RAW[[#This Row],[Perf_Score]]&gt;=70,"Achieving",RAW[[#This Row],[Perf_Score]]&gt;=50,"Developing",RAW[[#This Row],[Perf_Score]]&lt;=49,"Needs Improvement")</f>
        <v>Needs Improvement</v>
      </c>
      <c r="L99" s="14" t="s">
        <v>29</v>
      </c>
      <c r="M99" s="17">
        <f>IF(OR(RAW[[#This Row],[Employment Status]]="Left",RAW[[#This Row],[Employment Status]]="Resigned" ), 1, 0)</f>
        <v>0</v>
      </c>
      <c r="N99" s="17" t="str" cm="1">
        <f t="array" ref="N99">_xlfn.IFS(RAW[[#This Row],[Left/Resigned Band]]=0,"Active",RAW[[#This Row],[Left/Resigned Band]]=1,"Left")</f>
        <v>Active</v>
      </c>
      <c r="O99" s="22" t="str" cm="1">
        <f t="array" ref="O99">_xlfn.IFS(RAW[[#This Row],[Perf_Score]]&gt;=95,"0.12",RAW[[#This Row],[Perf_Score]]&gt;=85,"0.08",RAW[[#This Row],[Perf_Score]]&gt;=70,"0.05",RAW[[#This Row],[Perf_Score]]&gt;=50,"0.02",RAW[[#This Row],[Perf_Score]]&lt;=49,"0")</f>
        <v>0</v>
      </c>
      <c r="P99" s="8">
        <f>RAW[[#This Row],[Salary]]*RAW[[#This Row],[Eligible Bonus Amount]]</f>
        <v>0</v>
      </c>
    </row>
    <row r="100" spans="1:16" x14ac:dyDescent="0.25">
      <c r="A100" t="s">
        <v>134</v>
      </c>
      <c r="B100" t="s">
        <v>261</v>
      </c>
      <c r="C100" t="s">
        <v>14</v>
      </c>
      <c r="D100" t="str">
        <f t="shared" si="6"/>
        <v>IT02</v>
      </c>
      <c r="E100" t="str">
        <f>VLOOKUP(RAW[[#This Row],[Dept Code]],Table4[#All],2,FALSE)</f>
        <v>Information Technology</v>
      </c>
      <c r="F100" s="2">
        <v>43532</v>
      </c>
      <c r="G100" s="6">
        <f ca="1">DATEDIF(RAW[[#This Row],[Hire Date]], TODAY(), "Y")</f>
        <v>7</v>
      </c>
      <c r="I100" s="12" cm="1">
        <f t="array" ref="I100">IF(H100="",MEDIAN(IF(($E$2:$E$151=E100)*($H$2:$H$151&lt;&gt;""),$H$2:$H$151)),H100)</f>
        <v>77819</v>
      </c>
      <c r="J100">
        <v>33</v>
      </c>
      <c r="K100" t="str" cm="1">
        <f t="array" ref="K100">_xlfn.IFS(RAW[[#This Row],[Perf_Score]]&gt;=95,"Outstanding",RAW[[#This Row],[Perf_Score]]&gt;=85,"Exceeding",RAW[[#This Row],[Perf_Score]]&gt;=70,"Achieving",RAW[[#This Row],[Perf_Score]]&gt;=50,"Developing",RAW[[#This Row],[Perf_Score]]&lt;=49,"Needs Improvement")</f>
        <v>Needs Improvement</v>
      </c>
      <c r="L100" t="s">
        <v>29</v>
      </c>
      <c r="M100">
        <f>IF(OR(RAW[[#This Row],[Employment Status]]="Left",RAW[[#This Row],[Employment Status]]="Resigned" ), 1, 0)</f>
        <v>0</v>
      </c>
      <c r="N100" t="str" cm="1">
        <f t="array" ref="N100">_xlfn.IFS(RAW[[#This Row],[Left/Resigned Band]]=0,"Active",RAW[[#This Row],[Left/Resigned Band]]=1,"Left")</f>
        <v>Active</v>
      </c>
      <c r="O100" t="str" cm="1">
        <f t="array" ref="O100">_xlfn.IFS(RAW[[#This Row],[Perf_Score]]&gt;=95,"0.12",RAW[[#This Row],[Perf_Score]]&gt;=85,"0.08",RAW[[#This Row],[Perf_Score]]&gt;=70,"0.05",RAW[[#This Row],[Perf_Score]]&gt;=50,"0.02",RAW[[#This Row],[Perf_Score]]&lt;=49,"0")</f>
        <v>0</v>
      </c>
      <c r="P100" s="3">
        <f t="shared" ref="P100:P122" si="7">SUM(O:O)</f>
        <v>0</v>
      </c>
    </row>
    <row r="101" spans="1:16" x14ac:dyDescent="0.25">
      <c r="A101" s="14" t="s">
        <v>135</v>
      </c>
      <c r="B101" s="14" t="s">
        <v>262</v>
      </c>
      <c r="C101" t="s">
        <v>11</v>
      </c>
      <c r="D101" s="14" t="str">
        <f t="shared" si="6"/>
        <v>MKT04</v>
      </c>
      <c r="E101" s="14" t="str">
        <f>VLOOKUP(RAW[[#This Row],[Dept Code]],Table4[#All],2,FALSE)</f>
        <v>Marketing</v>
      </c>
      <c r="F101" s="2">
        <v>42074</v>
      </c>
      <c r="G101" s="6">
        <f ca="1">DATEDIF(RAW[[#This Row],[Hire Date]], TODAY(), "Y")</f>
        <v>11</v>
      </c>
      <c r="H101" s="12">
        <v>101750</v>
      </c>
      <c r="I101" s="12" cm="1">
        <f t="array" ref="I101">IF(H101="",MEDIAN(IF(($E$2:$E$151=E101)*($H$2:$H$151&lt;&gt;""),$H$2:$H$151)),H101)</f>
        <v>101750</v>
      </c>
      <c r="J101" s="6">
        <v>84</v>
      </c>
      <c r="K101" s="14" t="str" cm="1">
        <f t="array" ref="K101">_xlfn.IFS(RAW[[#This Row],[Perf_Score]]&gt;=95,"Outstanding",RAW[[#This Row],[Perf_Score]]&gt;=85,"Exceeding",RAW[[#This Row],[Perf_Score]]&gt;=70,"Achieving",RAW[[#This Row],[Perf_Score]]&gt;=50,"Developing",RAW[[#This Row],[Perf_Score]]&lt;=49,"Needs Improvement")</f>
        <v>Achieving</v>
      </c>
      <c r="L101" s="14" t="s">
        <v>19</v>
      </c>
      <c r="M101" s="17">
        <f>IF(OR(RAW[[#This Row],[Employment Status]]="Left",RAW[[#This Row],[Employment Status]]="Resigned" ), 1, 0)</f>
        <v>1</v>
      </c>
      <c r="N101" s="17" t="str" cm="1">
        <f t="array" ref="N101">_xlfn.IFS(RAW[[#This Row],[Left/Resigned Band]]=0,"Active",RAW[[#This Row],[Left/Resigned Band]]=1,"Left")</f>
        <v>Left</v>
      </c>
      <c r="O101" s="22" t="str" cm="1">
        <f t="array" ref="O101">_xlfn.IFS(RAW[[#This Row],[Perf_Score]]&gt;=95,"0.12",RAW[[#This Row],[Perf_Score]]&gt;=85,"0.08",RAW[[#This Row],[Perf_Score]]&gt;=70,"0.05",RAW[[#This Row],[Perf_Score]]&gt;=50,"0.02",RAW[[#This Row],[Perf_Score]]&lt;=49,"0")</f>
        <v>0.05</v>
      </c>
      <c r="P101" s="8">
        <f>RAW[[#This Row],[Salary]]*RAW[[#This Row],[Eligible Bonus Amount]]</f>
        <v>5087.5</v>
      </c>
    </row>
    <row r="102" spans="1:16" x14ac:dyDescent="0.25">
      <c r="A102" s="14" t="s">
        <v>136</v>
      </c>
      <c r="B102" s="14" t="s">
        <v>263</v>
      </c>
      <c r="C102" t="s">
        <v>36</v>
      </c>
      <c r="D102" s="14" t="str">
        <f t="shared" si="6"/>
        <v>MKT04</v>
      </c>
      <c r="E102" s="14" t="str">
        <f>VLOOKUP(RAW[[#This Row],[Dept Code]],Table4[#All],2,FALSE)</f>
        <v>Marketing</v>
      </c>
      <c r="F102" s="2">
        <v>42785</v>
      </c>
      <c r="G102" s="6">
        <f ca="1">DATEDIF(RAW[[#This Row],[Hire Date]], TODAY(), "Y")</f>
        <v>9</v>
      </c>
      <c r="H102" s="12">
        <v>82992</v>
      </c>
      <c r="I102" s="12" cm="1">
        <f t="array" ref="I102">IF(H102="",MEDIAN(IF(($E$2:$E$151=E102)*($H$2:$H$151&lt;&gt;""),$H$2:$H$151)),H102)</f>
        <v>82992</v>
      </c>
      <c r="J102" s="6">
        <v>79</v>
      </c>
      <c r="K102" s="14" t="str" cm="1">
        <f t="array" ref="K102">_xlfn.IFS(RAW[[#This Row],[Perf_Score]]&gt;=95,"Outstanding",RAW[[#This Row],[Perf_Score]]&gt;=85,"Exceeding",RAW[[#This Row],[Perf_Score]]&gt;=70,"Achieving",RAW[[#This Row],[Perf_Score]]&gt;=50,"Developing",RAW[[#This Row],[Perf_Score]]&lt;=49,"Needs Improvement")</f>
        <v>Achieving</v>
      </c>
      <c r="L102" s="14" t="s">
        <v>29</v>
      </c>
      <c r="M102" s="17">
        <f>IF(OR(RAW[[#This Row],[Employment Status]]="Left",RAW[[#This Row],[Employment Status]]="Resigned" ), 1, 0)</f>
        <v>0</v>
      </c>
      <c r="N102" s="17" t="str" cm="1">
        <f t="array" ref="N102">_xlfn.IFS(RAW[[#This Row],[Left/Resigned Band]]=0,"Active",RAW[[#This Row],[Left/Resigned Band]]=1,"Left")</f>
        <v>Active</v>
      </c>
      <c r="O102" s="22" t="str" cm="1">
        <f t="array" ref="O102">_xlfn.IFS(RAW[[#This Row],[Perf_Score]]&gt;=95,"0.12",RAW[[#This Row],[Perf_Score]]&gt;=85,"0.08",RAW[[#This Row],[Perf_Score]]&gt;=70,"0.05",RAW[[#This Row],[Perf_Score]]&gt;=50,"0.02",RAW[[#This Row],[Perf_Score]]&lt;=49,"0")</f>
        <v>0.05</v>
      </c>
      <c r="P102" s="8">
        <f>RAW[[#This Row],[Salary]]*RAW[[#This Row],[Eligible Bonus Amount]]</f>
        <v>4149.6000000000004</v>
      </c>
    </row>
    <row r="103" spans="1:16" x14ac:dyDescent="0.25">
      <c r="A103" s="14" t="s">
        <v>137</v>
      </c>
      <c r="B103" s="14" t="s">
        <v>264</v>
      </c>
      <c r="C103" t="s">
        <v>8</v>
      </c>
      <c r="D103" s="14" t="str">
        <f t="shared" si="6"/>
        <v>IT02</v>
      </c>
      <c r="E103" s="14" t="str">
        <f>VLOOKUP(RAW[[#This Row],[Dept Code]],Table4[#All],2,FALSE)</f>
        <v>Information Technology</v>
      </c>
      <c r="F103" s="2">
        <v>45055</v>
      </c>
      <c r="G103" s="6">
        <f ca="1">DATEDIF(RAW[[#This Row],[Hire Date]], TODAY(), "Y")</f>
        <v>3</v>
      </c>
      <c r="H103" s="12">
        <v>49942</v>
      </c>
      <c r="I103" s="12" cm="1">
        <f t="array" ref="I103">IF(H103="",MEDIAN(IF(($E$2:$E$151=E103)*($H$2:$H$151&lt;&gt;""),$H$2:$H$151)),H103)</f>
        <v>49942</v>
      </c>
      <c r="J103" s="6">
        <v>51</v>
      </c>
      <c r="K103" s="14" t="str" cm="1">
        <f t="array" ref="K103">_xlfn.IFS(RAW[[#This Row],[Perf_Score]]&gt;=95,"Outstanding",RAW[[#This Row],[Perf_Score]]&gt;=85,"Exceeding",RAW[[#This Row],[Perf_Score]]&gt;=70,"Achieving",RAW[[#This Row],[Perf_Score]]&gt;=50,"Developing",RAW[[#This Row],[Perf_Score]]&lt;=49,"Needs Improvement")</f>
        <v>Developing</v>
      </c>
      <c r="L103" s="14" t="s">
        <v>29</v>
      </c>
      <c r="M103" s="17">
        <f>IF(OR(RAW[[#This Row],[Employment Status]]="Left",RAW[[#This Row],[Employment Status]]="Resigned" ), 1, 0)</f>
        <v>0</v>
      </c>
      <c r="N103" s="17" t="str" cm="1">
        <f t="array" ref="N103">_xlfn.IFS(RAW[[#This Row],[Left/Resigned Band]]=0,"Active",RAW[[#This Row],[Left/Resigned Band]]=1,"Left")</f>
        <v>Active</v>
      </c>
      <c r="O103" s="22" t="str" cm="1">
        <f t="array" ref="O103">_xlfn.IFS(RAW[[#This Row],[Perf_Score]]&gt;=95,"0.12",RAW[[#This Row],[Perf_Score]]&gt;=85,"0.08",RAW[[#This Row],[Perf_Score]]&gt;=70,"0.05",RAW[[#This Row],[Perf_Score]]&gt;=50,"0.02",RAW[[#This Row],[Perf_Score]]&lt;=49,"0")</f>
        <v>0.02</v>
      </c>
      <c r="P103" s="8">
        <f>RAW[[#This Row],[Salary]]*RAW[[#This Row],[Eligible Bonus Amount]]</f>
        <v>998.84</v>
      </c>
    </row>
    <row r="104" spans="1:16" x14ac:dyDescent="0.25">
      <c r="A104" s="14" t="s">
        <v>138</v>
      </c>
      <c r="B104" s="14" t="s">
        <v>265</v>
      </c>
      <c r="C104" t="s">
        <v>23</v>
      </c>
      <c r="D104" s="14" t="str">
        <f t="shared" si="6"/>
        <v>OPS06</v>
      </c>
      <c r="E104" s="14" t="str">
        <f>VLOOKUP(RAW[[#This Row],[Dept Code]],Table4[#All],2,FALSE)</f>
        <v>Operations</v>
      </c>
      <c r="F104" s="2">
        <v>43122</v>
      </c>
      <c r="G104" s="6">
        <f ca="1">DATEDIF(RAW[[#This Row],[Hire Date]], TODAY(), "Y")</f>
        <v>8</v>
      </c>
      <c r="H104" s="12">
        <v>89060</v>
      </c>
      <c r="I104" s="12" cm="1">
        <f t="array" ref="I104">IF(H104="",MEDIAN(IF(($E$2:$E$151=E104)*($H$2:$H$151&lt;&gt;""),$H$2:$H$151)),H104)</f>
        <v>89060</v>
      </c>
      <c r="J104" s="6">
        <v>58</v>
      </c>
      <c r="K104" s="14" t="str" cm="1">
        <f t="array" ref="K104">_xlfn.IFS(RAW[[#This Row],[Perf_Score]]&gt;=95,"Outstanding",RAW[[#This Row],[Perf_Score]]&gt;=85,"Exceeding",RAW[[#This Row],[Perf_Score]]&gt;=70,"Achieving",RAW[[#This Row],[Perf_Score]]&gt;=50,"Developing",RAW[[#This Row],[Perf_Score]]&lt;=49,"Needs Improvement")</f>
        <v>Developing</v>
      </c>
      <c r="L104" s="14" t="s">
        <v>29</v>
      </c>
      <c r="M104" s="17">
        <f>IF(OR(RAW[[#This Row],[Employment Status]]="Left",RAW[[#This Row],[Employment Status]]="Resigned" ), 1, 0)</f>
        <v>0</v>
      </c>
      <c r="N104" s="17" t="str" cm="1">
        <f t="array" ref="N104">_xlfn.IFS(RAW[[#This Row],[Left/Resigned Band]]=0,"Active",RAW[[#This Row],[Left/Resigned Band]]=1,"Left")</f>
        <v>Active</v>
      </c>
      <c r="O104" s="22" t="str" cm="1">
        <f t="array" ref="O104">_xlfn.IFS(RAW[[#This Row],[Perf_Score]]&gt;=95,"0.12",RAW[[#This Row],[Perf_Score]]&gt;=85,"0.08",RAW[[#This Row],[Perf_Score]]&gt;=70,"0.05",RAW[[#This Row],[Perf_Score]]&gt;=50,"0.02",RAW[[#This Row],[Perf_Score]]&lt;=49,"0")</f>
        <v>0.02</v>
      </c>
      <c r="P104" s="8">
        <f>RAW[[#This Row],[Salary]]*RAW[[#This Row],[Eligible Bonus Amount]]</f>
        <v>1781.2</v>
      </c>
    </row>
    <row r="105" spans="1:16" x14ac:dyDescent="0.25">
      <c r="A105" s="14" t="s">
        <v>139</v>
      </c>
      <c r="B105" s="14" t="s">
        <v>246</v>
      </c>
      <c r="C105" t="s">
        <v>8</v>
      </c>
      <c r="D105" s="14" t="str">
        <f t="shared" si="6"/>
        <v>IT02</v>
      </c>
      <c r="E105" s="14" t="str">
        <f>VLOOKUP(RAW[[#This Row],[Dept Code]],Table4[#All],2,FALSE)</f>
        <v>Information Technology</v>
      </c>
      <c r="F105" s="2">
        <v>43879</v>
      </c>
      <c r="G105" s="6">
        <f ca="1">DATEDIF(RAW[[#This Row],[Hire Date]], TODAY(), "Y")</f>
        <v>6</v>
      </c>
      <c r="H105" s="12">
        <v>53786</v>
      </c>
      <c r="I105" s="12" cm="1">
        <f t="array" ref="I105">IF(H105="",MEDIAN(IF(($E$2:$E$151=E105)*($H$2:$H$151&lt;&gt;""),$H$2:$H$151)),H105)</f>
        <v>53786</v>
      </c>
      <c r="J105" s="6">
        <v>98</v>
      </c>
      <c r="K105" s="14" t="str" cm="1">
        <f t="array" ref="K105">_xlfn.IFS(RAW[[#This Row],[Perf_Score]]&gt;=95,"Outstanding",RAW[[#This Row],[Perf_Score]]&gt;=85,"Exceeding",RAW[[#This Row],[Perf_Score]]&gt;=70,"Achieving",RAW[[#This Row],[Perf_Score]]&gt;=50,"Developing",RAW[[#This Row],[Perf_Score]]&lt;=49,"Needs Improvement")</f>
        <v>Outstanding</v>
      </c>
      <c r="L105" s="14" t="s">
        <v>29</v>
      </c>
      <c r="M105" s="17">
        <f>IF(OR(RAW[[#This Row],[Employment Status]]="Left",RAW[[#This Row],[Employment Status]]="Resigned" ), 1, 0)</f>
        <v>0</v>
      </c>
      <c r="N105" s="17" t="str" cm="1">
        <f t="array" ref="N105">_xlfn.IFS(RAW[[#This Row],[Left/Resigned Band]]=0,"Active",RAW[[#This Row],[Left/Resigned Band]]=1,"Left")</f>
        <v>Active</v>
      </c>
      <c r="O105" s="22" t="str" cm="1">
        <f t="array" ref="O105">_xlfn.IFS(RAW[[#This Row],[Perf_Score]]&gt;=95,"0.12",RAW[[#This Row],[Perf_Score]]&gt;=85,"0.08",RAW[[#This Row],[Perf_Score]]&gt;=70,"0.05",RAW[[#This Row],[Perf_Score]]&gt;=50,"0.02",RAW[[#This Row],[Perf_Score]]&lt;=49,"0")</f>
        <v>0.12</v>
      </c>
      <c r="P105" s="8">
        <f>RAW[[#This Row],[Salary]]*RAW[[#This Row],[Eligible Bonus Amount]]</f>
        <v>6454.32</v>
      </c>
    </row>
    <row r="106" spans="1:16" hidden="1" x14ac:dyDescent="0.25">
      <c r="A106" t="s">
        <v>140</v>
      </c>
      <c r="B106" t="s">
        <v>192</v>
      </c>
      <c r="C106" t="s">
        <v>21</v>
      </c>
      <c r="D106" t="str">
        <f t="shared" si="6"/>
        <v>OPS06</v>
      </c>
      <c r="E106" t="str">
        <f>VLOOKUP(RAW[[#This Row],[Dept Code]],Table4[#All],2,FALSE)</f>
        <v>Operations</v>
      </c>
      <c r="F106" s="2">
        <v>42512</v>
      </c>
      <c r="G106" s="6">
        <f ca="1">DATEDIF(RAW[[#This Row],[Hire Date]], TODAY(), "Y")</f>
        <v>10</v>
      </c>
      <c r="H106" s="12">
        <v>81167</v>
      </c>
      <c r="I106" s="12" cm="1">
        <f t="array" ref="I106">IF(H106="",MEDIAN(IF(($E$2:$E$151=E106)*($H$2:$H$151&lt;&gt;""),$H$2:$H$151)),H106)</f>
        <v>81167</v>
      </c>
      <c r="J106"/>
      <c r="K106" t="str" cm="1">
        <f t="array" ref="K106">_xlfn.IFS(RAW[[#This Row],[Perf_Score]]&gt;=95,"Outstanding",RAW[[#This Row],[Perf_Score]]&gt;=85,"Exceeding",RAW[[#This Row],[Perf_Score]]&gt;=70,"Achieving",RAW[[#This Row],[Perf_Score]]&gt;=50,"Developing",RAW[[#This Row],[Perf_Score]]&lt;=49,"Needs Improvement")</f>
        <v>Needs Improvement</v>
      </c>
      <c r="L106" t="s">
        <v>29</v>
      </c>
      <c r="M106">
        <f>IF(OR(RAW[[#This Row],[Employment Status]]="Left",RAW[[#This Row],[Employment Status]]="Resigned" ), 1, 0)</f>
        <v>0</v>
      </c>
      <c r="N106" t="str" cm="1">
        <f t="array" ref="N106">_xlfn.IFS(RAW[[#This Row],[Left/Resigned Band]]=0,"Active",RAW[[#This Row],[Left/Resigned Band]]=1,"Left")</f>
        <v>Active</v>
      </c>
      <c r="O106" t="str" cm="1">
        <f t="array" ref="O106">_xlfn.IFS(RAW[[#This Row],[Perf_Score]]&gt;=95,"0.12",RAW[[#This Row],[Perf_Score]]&gt;=85,"0.08",RAW[[#This Row],[Perf_Score]]&gt;=70,"0.05",RAW[[#This Row],[Perf_Score]]&gt;=50,"0.02",RAW[[#This Row],[Perf_Score]]&lt;=49,"0")</f>
        <v>0</v>
      </c>
      <c r="P106" s="3">
        <f t="shared" si="7"/>
        <v>0</v>
      </c>
    </row>
    <row r="107" spans="1:16" x14ac:dyDescent="0.25">
      <c r="A107" s="14" t="s">
        <v>141</v>
      </c>
      <c r="B107" s="14" t="s">
        <v>266</v>
      </c>
      <c r="C107" t="s">
        <v>11</v>
      </c>
      <c r="D107" s="14" t="str">
        <f t="shared" si="6"/>
        <v>MKT04</v>
      </c>
      <c r="E107" s="14" t="str">
        <f>VLOOKUP(RAW[[#This Row],[Dept Code]],Table4[#All],2,FALSE)</f>
        <v>Marketing</v>
      </c>
      <c r="F107" s="2">
        <v>44349</v>
      </c>
      <c r="G107" s="6">
        <f ca="1">DATEDIF(RAW[[#This Row],[Hire Date]], TODAY(), "Y")</f>
        <v>5</v>
      </c>
      <c r="H107" s="12">
        <v>66688</v>
      </c>
      <c r="I107" s="12" cm="1">
        <f t="array" ref="I107">IF(H107="",MEDIAN(IF(($E$2:$E$151=E107)*($H$2:$H$151&lt;&gt;""),$H$2:$H$151)),H107)</f>
        <v>66688</v>
      </c>
      <c r="J107" s="6">
        <v>40</v>
      </c>
      <c r="K107" s="14" t="str" cm="1">
        <f t="array" ref="K107">_xlfn.IFS(RAW[[#This Row],[Perf_Score]]&gt;=95,"Outstanding",RAW[[#This Row],[Perf_Score]]&gt;=85,"Exceeding",RAW[[#This Row],[Perf_Score]]&gt;=70,"Achieving",RAW[[#This Row],[Perf_Score]]&gt;=50,"Developing",RAW[[#This Row],[Perf_Score]]&lt;=49,"Needs Improvement")</f>
        <v>Needs Improvement</v>
      </c>
      <c r="L107" s="14" t="s">
        <v>19</v>
      </c>
      <c r="M107" s="17">
        <f>IF(OR(RAW[[#This Row],[Employment Status]]="Left",RAW[[#This Row],[Employment Status]]="Resigned" ), 1, 0)</f>
        <v>1</v>
      </c>
      <c r="N107" s="17" t="str" cm="1">
        <f t="array" ref="N107">_xlfn.IFS(RAW[[#This Row],[Left/Resigned Band]]=0,"Active",RAW[[#This Row],[Left/Resigned Band]]=1,"Left")</f>
        <v>Left</v>
      </c>
      <c r="O107" s="22" t="str" cm="1">
        <f t="array" ref="O107">_xlfn.IFS(RAW[[#This Row],[Perf_Score]]&gt;=95,"0.12",RAW[[#This Row],[Perf_Score]]&gt;=85,"0.08",RAW[[#This Row],[Perf_Score]]&gt;=70,"0.05",RAW[[#This Row],[Perf_Score]]&gt;=50,"0.02",RAW[[#This Row],[Perf_Score]]&lt;=49,"0")</f>
        <v>0</v>
      </c>
      <c r="P107" s="8">
        <f>RAW[[#This Row],[Salary]]*RAW[[#This Row],[Eligible Bonus Amount]]</f>
        <v>0</v>
      </c>
    </row>
    <row r="108" spans="1:16" x14ac:dyDescent="0.25">
      <c r="A108" s="14" t="s">
        <v>142</v>
      </c>
      <c r="B108" s="14" t="s">
        <v>267</v>
      </c>
      <c r="C108" t="s">
        <v>8</v>
      </c>
      <c r="D108" s="14" t="str">
        <f t="shared" si="6"/>
        <v>IT02</v>
      </c>
      <c r="E108" s="14" t="str">
        <f>VLOOKUP(RAW[[#This Row],[Dept Code]],Table4[#All],2,FALSE)</f>
        <v>Information Technology</v>
      </c>
      <c r="F108" s="2">
        <v>44394</v>
      </c>
      <c r="G108" s="6">
        <f ca="1">DATEDIF(RAW[[#This Row],[Hire Date]], TODAY(), "Y")</f>
        <v>4</v>
      </c>
      <c r="H108" s="12">
        <v>91672</v>
      </c>
      <c r="I108" s="12" cm="1">
        <f t="array" ref="I108">IF(H108="",MEDIAN(IF(($E$2:$E$151=E108)*($H$2:$H$151&lt;&gt;""),$H$2:$H$151)),H108)</f>
        <v>91672</v>
      </c>
      <c r="J108" s="6">
        <v>88</v>
      </c>
      <c r="K108" s="14" t="str" cm="1">
        <f t="array" ref="K108">_xlfn.IFS(RAW[[#This Row],[Perf_Score]]&gt;=95,"Outstanding",RAW[[#This Row],[Perf_Score]]&gt;=85,"Exceeding",RAW[[#This Row],[Perf_Score]]&gt;=70,"Achieving",RAW[[#This Row],[Perf_Score]]&gt;=50,"Developing",RAW[[#This Row],[Perf_Score]]&lt;=49,"Needs Improvement")</f>
        <v>Exceeding</v>
      </c>
      <c r="L108" s="14" t="s">
        <v>296</v>
      </c>
      <c r="M108" s="17">
        <f>IF(OR(RAW[[#This Row],[Employment Status]]="Left",RAW[[#This Row],[Employment Status]]="Resigned" ), 1, 0)</f>
        <v>0</v>
      </c>
      <c r="N108" s="17" t="str" cm="1">
        <f t="array" ref="N108">_xlfn.IFS(RAW[[#This Row],[Left/Resigned Band]]=0,"Active",RAW[[#This Row],[Left/Resigned Band]]=1,"Left")</f>
        <v>Active</v>
      </c>
      <c r="O108" s="22" t="str" cm="1">
        <f t="array" ref="O108">_xlfn.IFS(RAW[[#This Row],[Perf_Score]]&gt;=95,"0.12",RAW[[#This Row],[Perf_Score]]&gt;=85,"0.08",RAW[[#This Row],[Perf_Score]]&gt;=70,"0.05",RAW[[#This Row],[Perf_Score]]&gt;=50,"0.02",RAW[[#This Row],[Perf_Score]]&lt;=49,"0")</f>
        <v>0.08</v>
      </c>
      <c r="P108" s="8">
        <f>RAW[[#This Row],[Salary]]*RAW[[#This Row],[Eligible Bonus Amount]]</f>
        <v>7333.76</v>
      </c>
    </row>
    <row r="109" spans="1:16" x14ac:dyDescent="0.25">
      <c r="A109" s="14" t="s">
        <v>143</v>
      </c>
      <c r="B109" s="14" t="s">
        <v>268</v>
      </c>
      <c r="C109" t="s">
        <v>103</v>
      </c>
      <c r="D109" s="14" t="str">
        <f t="shared" si="6"/>
        <v>HR01</v>
      </c>
      <c r="E109" s="14" t="str">
        <f>VLOOKUP(RAW[[#This Row],[Dept Code]],Table4[#All],2,FALSE)</f>
        <v>Human Resources</v>
      </c>
      <c r="F109" s="2">
        <v>42687</v>
      </c>
      <c r="G109" s="6">
        <f ca="1">DATEDIF(RAW[[#This Row],[Hire Date]], TODAY(), "Y")</f>
        <v>9</v>
      </c>
      <c r="H109" s="12">
        <v>77737</v>
      </c>
      <c r="I109" s="12" cm="1">
        <f t="array" ref="I109">IF(H109="",MEDIAN(IF(($E$2:$E$151=E109)*($H$2:$H$151&lt;&gt;""),$H$2:$H$151)),H109)</f>
        <v>77737</v>
      </c>
      <c r="J109" s="6">
        <v>77</v>
      </c>
      <c r="K109" s="14" t="str" cm="1">
        <f t="array" ref="K109">_xlfn.IFS(RAW[[#This Row],[Perf_Score]]&gt;=95,"Outstanding",RAW[[#This Row],[Perf_Score]]&gt;=85,"Exceeding",RAW[[#This Row],[Perf_Score]]&gt;=70,"Achieving",RAW[[#This Row],[Perf_Score]]&gt;=50,"Developing",RAW[[#This Row],[Perf_Score]]&lt;=49,"Needs Improvement")</f>
        <v>Achieving</v>
      </c>
      <c r="L109" s="14" t="s">
        <v>29</v>
      </c>
      <c r="M109" s="17">
        <f>IF(OR(RAW[[#This Row],[Employment Status]]="Left",RAW[[#This Row],[Employment Status]]="Resigned" ), 1, 0)</f>
        <v>0</v>
      </c>
      <c r="N109" s="17" t="str" cm="1">
        <f t="array" ref="N109">_xlfn.IFS(RAW[[#This Row],[Left/Resigned Band]]=0,"Active",RAW[[#This Row],[Left/Resigned Band]]=1,"Left")</f>
        <v>Active</v>
      </c>
      <c r="O109" s="22" t="str" cm="1">
        <f t="array" ref="O109">_xlfn.IFS(RAW[[#This Row],[Perf_Score]]&gt;=95,"0.12",RAW[[#This Row],[Perf_Score]]&gt;=85,"0.08",RAW[[#This Row],[Perf_Score]]&gt;=70,"0.05",RAW[[#This Row],[Perf_Score]]&gt;=50,"0.02",RAW[[#This Row],[Perf_Score]]&lt;=49,"0")</f>
        <v>0.05</v>
      </c>
      <c r="P109" s="8">
        <f>RAW[[#This Row],[Salary]]*RAW[[#This Row],[Eligible Bonus Amount]]</f>
        <v>3886.8500000000004</v>
      </c>
    </row>
    <row r="110" spans="1:16" x14ac:dyDescent="0.25">
      <c r="A110" s="14" t="s">
        <v>144</v>
      </c>
      <c r="B110" s="14" t="s">
        <v>219</v>
      </c>
      <c r="C110" t="s">
        <v>53</v>
      </c>
      <c r="D110" s="14" t="str">
        <f t="shared" si="6"/>
        <v>SAL05</v>
      </c>
      <c r="E110" s="14" t="str">
        <f>VLOOKUP(RAW[[#This Row],[Dept Code]],Table4[#All],2,FALSE)</f>
        <v>Sales</v>
      </c>
      <c r="F110" s="2">
        <v>43513</v>
      </c>
      <c r="G110" s="6">
        <f ca="1">DATEDIF(RAW[[#This Row],[Hire Date]], TODAY(), "Y")</f>
        <v>7</v>
      </c>
      <c r="H110" s="12">
        <v>95686</v>
      </c>
      <c r="I110" s="12" cm="1">
        <f t="array" ref="I110">IF(H110="",MEDIAN(IF(($E$2:$E$151=E110)*($H$2:$H$151&lt;&gt;""),$H$2:$H$151)),H110)</f>
        <v>95686</v>
      </c>
      <c r="J110" s="6">
        <v>91</v>
      </c>
      <c r="K110" s="14" t="str" cm="1">
        <f t="array" ref="K110">_xlfn.IFS(RAW[[#This Row],[Perf_Score]]&gt;=95,"Outstanding",RAW[[#This Row],[Perf_Score]]&gt;=85,"Exceeding",RAW[[#This Row],[Perf_Score]]&gt;=70,"Achieving",RAW[[#This Row],[Perf_Score]]&gt;=50,"Developing",RAW[[#This Row],[Perf_Score]]&lt;=49,"Needs Improvement")</f>
        <v>Exceeding</v>
      </c>
      <c r="L110" s="14" t="s">
        <v>29</v>
      </c>
      <c r="M110" s="17">
        <f>IF(OR(RAW[[#This Row],[Employment Status]]="Left",RAW[[#This Row],[Employment Status]]="Resigned" ), 1, 0)</f>
        <v>0</v>
      </c>
      <c r="N110" s="17" t="str" cm="1">
        <f t="array" ref="N110">_xlfn.IFS(RAW[[#This Row],[Left/Resigned Band]]=0,"Active",RAW[[#This Row],[Left/Resigned Band]]=1,"Left")</f>
        <v>Active</v>
      </c>
      <c r="O110" s="22" t="str" cm="1">
        <f t="array" ref="O110">_xlfn.IFS(RAW[[#This Row],[Perf_Score]]&gt;=95,"0.12",RAW[[#This Row],[Perf_Score]]&gt;=85,"0.08",RAW[[#This Row],[Perf_Score]]&gt;=70,"0.05",RAW[[#This Row],[Perf_Score]]&gt;=50,"0.02",RAW[[#This Row],[Perf_Score]]&lt;=49,"0")</f>
        <v>0.08</v>
      </c>
      <c r="P110" s="8">
        <f>RAW[[#This Row],[Salary]]*RAW[[#This Row],[Eligible Bonus Amount]]</f>
        <v>7654.88</v>
      </c>
    </row>
    <row r="111" spans="1:16" x14ac:dyDescent="0.25">
      <c r="A111" s="14" t="s">
        <v>145</v>
      </c>
      <c r="B111" s="14" t="s">
        <v>194</v>
      </c>
      <c r="C111" t="s">
        <v>28</v>
      </c>
      <c r="D111" s="14" t="str">
        <f t="shared" si="6"/>
        <v>SAL05</v>
      </c>
      <c r="E111" s="14" t="str">
        <f>VLOOKUP(RAW[[#This Row],[Dept Code]],Table4[#All],2,FALSE)</f>
        <v>Sales</v>
      </c>
      <c r="F111" s="2">
        <v>42625</v>
      </c>
      <c r="G111" s="6">
        <f ca="1">DATEDIF(RAW[[#This Row],[Hire Date]], TODAY(), "Y")</f>
        <v>9</v>
      </c>
      <c r="H111" s="12">
        <v>114681</v>
      </c>
      <c r="I111" s="12" cm="1">
        <f t="array" ref="I111">IF(H111="",MEDIAN(IF(($E$2:$E$151=E111)*($H$2:$H$151&lt;&gt;""),$H$2:$H$151)),H111)</f>
        <v>114681</v>
      </c>
      <c r="J111" s="6">
        <v>36</v>
      </c>
      <c r="K111" s="14" t="str" cm="1">
        <f t="array" ref="K111">_xlfn.IFS(RAW[[#This Row],[Perf_Score]]&gt;=95,"Outstanding",RAW[[#This Row],[Perf_Score]]&gt;=85,"Exceeding",RAW[[#This Row],[Perf_Score]]&gt;=70,"Achieving",RAW[[#This Row],[Perf_Score]]&gt;=50,"Developing",RAW[[#This Row],[Perf_Score]]&lt;=49,"Needs Improvement")</f>
        <v>Needs Improvement</v>
      </c>
      <c r="L111" s="14" t="s">
        <v>296</v>
      </c>
      <c r="M111" s="17">
        <f>IF(OR(RAW[[#This Row],[Employment Status]]="Left",RAW[[#This Row],[Employment Status]]="Resigned" ), 1, 0)</f>
        <v>0</v>
      </c>
      <c r="N111" s="17" t="str" cm="1">
        <f t="array" ref="N111">_xlfn.IFS(RAW[[#This Row],[Left/Resigned Band]]=0,"Active",RAW[[#This Row],[Left/Resigned Band]]=1,"Left")</f>
        <v>Active</v>
      </c>
      <c r="O111" s="22" t="str" cm="1">
        <f t="array" ref="O111">_xlfn.IFS(RAW[[#This Row],[Perf_Score]]&gt;=95,"0.12",RAW[[#This Row],[Perf_Score]]&gt;=85,"0.08",RAW[[#This Row],[Perf_Score]]&gt;=70,"0.05",RAW[[#This Row],[Perf_Score]]&gt;=50,"0.02",RAW[[#This Row],[Perf_Score]]&lt;=49,"0")</f>
        <v>0</v>
      </c>
      <c r="P111" s="8">
        <f>RAW[[#This Row],[Salary]]*RAW[[#This Row],[Eligible Bonus Amount]]</f>
        <v>0</v>
      </c>
    </row>
    <row r="112" spans="1:16" x14ac:dyDescent="0.25">
      <c r="A112" s="14" t="s">
        <v>146</v>
      </c>
      <c r="B112" s="14" t="s">
        <v>240</v>
      </c>
      <c r="C112" t="s">
        <v>23</v>
      </c>
      <c r="D112" s="14" t="str">
        <f t="shared" si="6"/>
        <v>OPS06</v>
      </c>
      <c r="E112" s="14" t="str">
        <f>VLOOKUP(RAW[[#This Row],[Dept Code]],Table4[#All],2,FALSE)</f>
        <v>Operations</v>
      </c>
      <c r="F112" s="2">
        <v>44421</v>
      </c>
      <c r="G112" s="6">
        <f ca="1">DATEDIF(RAW[[#This Row],[Hire Date]], TODAY(), "Y")</f>
        <v>4</v>
      </c>
      <c r="H112" s="12">
        <v>109121</v>
      </c>
      <c r="I112" s="12" cm="1">
        <f t="array" ref="I112">IF(H112="",MEDIAN(IF(($E$2:$E$151=E112)*($H$2:$H$151&lt;&gt;""),$H$2:$H$151)),H112)</f>
        <v>109121</v>
      </c>
      <c r="J112" s="6">
        <v>72</v>
      </c>
      <c r="K112" s="14" t="str" cm="1">
        <f t="array" ref="K112">_xlfn.IFS(RAW[[#This Row],[Perf_Score]]&gt;=95,"Outstanding",RAW[[#This Row],[Perf_Score]]&gt;=85,"Exceeding",RAW[[#This Row],[Perf_Score]]&gt;=70,"Achieving",RAW[[#This Row],[Perf_Score]]&gt;=50,"Developing",RAW[[#This Row],[Perf_Score]]&lt;=49,"Needs Improvement")</f>
        <v>Achieving</v>
      </c>
      <c r="L112" s="14" t="s">
        <v>29</v>
      </c>
      <c r="M112" s="17">
        <f>IF(OR(RAW[[#This Row],[Employment Status]]="Left",RAW[[#This Row],[Employment Status]]="Resigned" ), 1, 0)</f>
        <v>0</v>
      </c>
      <c r="N112" s="17" t="str" cm="1">
        <f t="array" ref="N112">_xlfn.IFS(RAW[[#This Row],[Left/Resigned Band]]=0,"Active",RAW[[#This Row],[Left/Resigned Band]]=1,"Left")</f>
        <v>Active</v>
      </c>
      <c r="O112" s="22" t="str" cm="1">
        <f t="array" ref="O112">_xlfn.IFS(RAW[[#This Row],[Perf_Score]]&gt;=95,"0.12",RAW[[#This Row],[Perf_Score]]&gt;=85,"0.08",RAW[[#This Row],[Perf_Score]]&gt;=70,"0.05",RAW[[#This Row],[Perf_Score]]&gt;=50,"0.02",RAW[[#This Row],[Perf_Score]]&lt;=49,"0")</f>
        <v>0.05</v>
      </c>
      <c r="P112" s="8">
        <f>RAW[[#This Row],[Salary]]*RAW[[#This Row],[Eligible Bonus Amount]]</f>
        <v>5456.05</v>
      </c>
    </row>
    <row r="113" spans="1:16" x14ac:dyDescent="0.25">
      <c r="A113" s="14" t="s">
        <v>147</v>
      </c>
      <c r="B113" s="14" t="s">
        <v>269</v>
      </c>
      <c r="C113" t="s">
        <v>11</v>
      </c>
      <c r="D113" s="14" t="str">
        <f t="shared" si="6"/>
        <v>MKT04</v>
      </c>
      <c r="E113" s="14" t="str">
        <f>VLOOKUP(RAW[[#This Row],[Dept Code]],Table4[#All],2,FALSE)</f>
        <v>Marketing</v>
      </c>
      <c r="F113" s="2">
        <v>43996</v>
      </c>
      <c r="G113" s="6">
        <f ca="1">DATEDIF(RAW[[#This Row],[Hire Date]], TODAY(), "Y")</f>
        <v>6</v>
      </c>
      <c r="H113" s="12">
        <v>112791</v>
      </c>
      <c r="I113" s="12" cm="1">
        <f t="array" ref="I113">IF(H113="",MEDIAN(IF(($E$2:$E$151=E113)*($H$2:$H$151&lt;&gt;""),$H$2:$H$151)),H113)</f>
        <v>112791</v>
      </c>
      <c r="J113" s="6">
        <v>87</v>
      </c>
      <c r="K113" s="14" t="str" cm="1">
        <f t="array" ref="K113">_xlfn.IFS(RAW[[#This Row],[Perf_Score]]&gt;=95,"Outstanding",RAW[[#This Row],[Perf_Score]]&gt;=85,"Exceeding",RAW[[#This Row],[Perf_Score]]&gt;=70,"Achieving",RAW[[#This Row],[Perf_Score]]&gt;=50,"Developing",RAW[[#This Row],[Perf_Score]]&lt;=49,"Needs Improvement")</f>
        <v>Exceeding</v>
      </c>
      <c r="L113" s="14" t="s">
        <v>29</v>
      </c>
      <c r="M113" s="17">
        <f>IF(OR(RAW[[#This Row],[Employment Status]]="Left",RAW[[#This Row],[Employment Status]]="Resigned" ), 1, 0)</f>
        <v>0</v>
      </c>
      <c r="N113" s="17" t="str" cm="1">
        <f t="array" ref="N113">_xlfn.IFS(RAW[[#This Row],[Left/Resigned Band]]=0,"Active",RAW[[#This Row],[Left/Resigned Band]]=1,"Left")</f>
        <v>Active</v>
      </c>
      <c r="O113" s="22" t="str" cm="1">
        <f t="array" ref="O113">_xlfn.IFS(RAW[[#This Row],[Perf_Score]]&gt;=95,"0.12",RAW[[#This Row],[Perf_Score]]&gt;=85,"0.08",RAW[[#This Row],[Perf_Score]]&gt;=70,"0.05",RAW[[#This Row],[Perf_Score]]&gt;=50,"0.02",RAW[[#This Row],[Perf_Score]]&lt;=49,"0")</f>
        <v>0.08</v>
      </c>
      <c r="P113" s="8">
        <f>RAW[[#This Row],[Salary]]*RAW[[#This Row],[Eligible Bonus Amount]]</f>
        <v>9023.2800000000007</v>
      </c>
    </row>
    <row r="114" spans="1:16" x14ac:dyDescent="0.25">
      <c r="A114" s="14" t="s">
        <v>148</v>
      </c>
      <c r="B114" s="14" t="s">
        <v>270</v>
      </c>
      <c r="C114" t="s">
        <v>14</v>
      </c>
      <c r="D114" s="14" t="str">
        <f t="shared" si="6"/>
        <v>IT02</v>
      </c>
      <c r="E114" s="14" t="str">
        <f>VLOOKUP(RAW[[#This Row],[Dept Code]],Table4[#All],2,FALSE)</f>
        <v>Information Technology</v>
      </c>
      <c r="F114" s="2">
        <v>44747</v>
      </c>
      <c r="G114" s="6">
        <f ca="1">DATEDIF(RAW[[#This Row],[Hire Date]], TODAY(), "Y")</f>
        <v>4</v>
      </c>
      <c r="H114" s="12">
        <v>118008</v>
      </c>
      <c r="I114" s="12" cm="1">
        <f t="array" ref="I114">IF(H114="",MEDIAN(IF(($E$2:$E$151=E114)*($H$2:$H$151&lt;&gt;""),$H$2:$H$151)),H114)</f>
        <v>118008</v>
      </c>
      <c r="J114" s="6">
        <v>71</v>
      </c>
      <c r="K114" s="14" t="str" cm="1">
        <f t="array" ref="K114">_xlfn.IFS(RAW[[#This Row],[Perf_Score]]&gt;=95,"Outstanding",RAW[[#This Row],[Perf_Score]]&gt;=85,"Exceeding",RAW[[#This Row],[Perf_Score]]&gt;=70,"Achieving",RAW[[#This Row],[Perf_Score]]&gt;=50,"Developing",RAW[[#This Row],[Perf_Score]]&lt;=49,"Needs Improvement")</f>
        <v>Achieving</v>
      </c>
      <c r="L114" s="14" t="s">
        <v>29</v>
      </c>
      <c r="M114" s="17">
        <f>IF(OR(RAW[[#This Row],[Employment Status]]="Left",RAW[[#This Row],[Employment Status]]="Resigned" ), 1, 0)</f>
        <v>0</v>
      </c>
      <c r="N114" s="17" t="str" cm="1">
        <f t="array" ref="N114">_xlfn.IFS(RAW[[#This Row],[Left/Resigned Band]]=0,"Active",RAW[[#This Row],[Left/Resigned Band]]=1,"Left")</f>
        <v>Active</v>
      </c>
      <c r="O114" s="22" t="str" cm="1">
        <f t="array" ref="O114">_xlfn.IFS(RAW[[#This Row],[Perf_Score]]&gt;=95,"0.12",RAW[[#This Row],[Perf_Score]]&gt;=85,"0.08",RAW[[#This Row],[Perf_Score]]&gt;=70,"0.05",RAW[[#This Row],[Perf_Score]]&gt;=50,"0.02",RAW[[#This Row],[Perf_Score]]&lt;=49,"0")</f>
        <v>0.05</v>
      </c>
      <c r="P114" s="8">
        <f>RAW[[#This Row],[Salary]]*RAW[[#This Row],[Eligible Bonus Amount]]</f>
        <v>5900.4000000000005</v>
      </c>
    </row>
    <row r="115" spans="1:16" x14ac:dyDescent="0.25">
      <c r="A115" s="14" t="s">
        <v>149</v>
      </c>
      <c r="B115" s="14" t="s">
        <v>259</v>
      </c>
      <c r="C115" t="s">
        <v>8</v>
      </c>
      <c r="D115" s="14" t="str">
        <f t="shared" si="6"/>
        <v>IT02</v>
      </c>
      <c r="E115" s="14" t="str">
        <f>VLOOKUP(RAW[[#This Row],[Dept Code]],Table4[#All],2,FALSE)</f>
        <v>Information Technology</v>
      </c>
      <c r="F115" s="2">
        <v>42561</v>
      </c>
      <c r="G115" s="6">
        <f ca="1">DATEDIF(RAW[[#This Row],[Hire Date]], TODAY(), "Y")</f>
        <v>9</v>
      </c>
      <c r="H115" s="12">
        <v>74370</v>
      </c>
      <c r="I115" s="12" cm="1">
        <f t="array" ref="I115">IF(H115="",MEDIAN(IF(($E$2:$E$151=E115)*($H$2:$H$151&lt;&gt;""),$H$2:$H$151)),H115)</f>
        <v>74370</v>
      </c>
      <c r="J115" s="6">
        <v>82</v>
      </c>
      <c r="K115" s="14" t="str" cm="1">
        <f t="array" ref="K115">_xlfn.IFS(RAW[[#This Row],[Perf_Score]]&gt;=95,"Outstanding",RAW[[#This Row],[Perf_Score]]&gt;=85,"Exceeding",RAW[[#This Row],[Perf_Score]]&gt;=70,"Achieving",RAW[[#This Row],[Perf_Score]]&gt;=50,"Developing",RAW[[#This Row],[Perf_Score]]&lt;=49,"Needs Improvement")</f>
        <v>Achieving</v>
      </c>
      <c r="L115" s="14" t="s">
        <v>29</v>
      </c>
      <c r="M115" s="17">
        <f>IF(OR(RAW[[#This Row],[Employment Status]]="Left",RAW[[#This Row],[Employment Status]]="Resigned" ), 1, 0)</f>
        <v>0</v>
      </c>
      <c r="N115" s="17" t="str" cm="1">
        <f t="array" ref="N115">_xlfn.IFS(RAW[[#This Row],[Left/Resigned Band]]=0,"Active",RAW[[#This Row],[Left/Resigned Band]]=1,"Left")</f>
        <v>Active</v>
      </c>
      <c r="O115" s="22" t="str" cm="1">
        <f t="array" ref="O115">_xlfn.IFS(RAW[[#This Row],[Perf_Score]]&gt;=95,"0.12",RAW[[#This Row],[Perf_Score]]&gt;=85,"0.08",RAW[[#This Row],[Perf_Score]]&gt;=70,"0.05",RAW[[#This Row],[Perf_Score]]&gt;=50,"0.02",RAW[[#This Row],[Perf_Score]]&lt;=49,"0")</f>
        <v>0.05</v>
      </c>
      <c r="P115" s="8">
        <f>RAW[[#This Row],[Salary]]*RAW[[#This Row],[Eligible Bonus Amount]]</f>
        <v>3718.5</v>
      </c>
    </row>
    <row r="116" spans="1:16" x14ac:dyDescent="0.25">
      <c r="A116" s="14" t="s">
        <v>150</v>
      </c>
      <c r="B116" s="14" t="s">
        <v>271</v>
      </c>
      <c r="C116" t="s">
        <v>14</v>
      </c>
      <c r="D116" s="14" t="str">
        <f t="shared" si="6"/>
        <v>IT02</v>
      </c>
      <c r="E116" s="14" t="str">
        <f>VLOOKUP(RAW[[#This Row],[Dept Code]],Table4[#All],2,FALSE)</f>
        <v>Information Technology</v>
      </c>
      <c r="F116" s="2">
        <v>44674</v>
      </c>
      <c r="G116" s="6">
        <f ca="1">DATEDIF(RAW[[#This Row],[Hire Date]], TODAY(), "Y")</f>
        <v>4</v>
      </c>
      <c r="H116" s="12">
        <v>77819</v>
      </c>
      <c r="I116" s="12" cm="1">
        <f t="array" ref="I116">IF(H116="",MEDIAN(IF(($E$2:$E$151=E116)*($H$2:$H$151&lt;&gt;""),$H$2:$H$151)),H116)</f>
        <v>77819</v>
      </c>
      <c r="J116" s="6">
        <v>79</v>
      </c>
      <c r="K116" s="14" t="str" cm="1">
        <f t="array" ref="K116">_xlfn.IFS(RAW[[#This Row],[Perf_Score]]&gt;=95,"Outstanding",RAW[[#This Row],[Perf_Score]]&gt;=85,"Exceeding",RAW[[#This Row],[Perf_Score]]&gt;=70,"Achieving",RAW[[#This Row],[Perf_Score]]&gt;=50,"Developing",RAW[[#This Row],[Perf_Score]]&lt;=49,"Needs Improvement")</f>
        <v>Achieving</v>
      </c>
      <c r="L116" s="14" t="s">
        <v>296</v>
      </c>
      <c r="M116" s="17">
        <f>IF(OR(RAW[[#This Row],[Employment Status]]="Left",RAW[[#This Row],[Employment Status]]="Resigned" ), 1, 0)</f>
        <v>0</v>
      </c>
      <c r="N116" s="17" t="str" cm="1">
        <f t="array" ref="N116">_xlfn.IFS(RAW[[#This Row],[Left/Resigned Band]]=0,"Active",RAW[[#This Row],[Left/Resigned Band]]=1,"Left")</f>
        <v>Active</v>
      </c>
      <c r="O116" s="22" t="str" cm="1">
        <f t="array" ref="O116">_xlfn.IFS(RAW[[#This Row],[Perf_Score]]&gt;=95,"0.12",RAW[[#This Row],[Perf_Score]]&gt;=85,"0.08",RAW[[#This Row],[Perf_Score]]&gt;=70,"0.05",RAW[[#This Row],[Perf_Score]]&gt;=50,"0.02",RAW[[#This Row],[Perf_Score]]&lt;=49,"0")</f>
        <v>0.05</v>
      </c>
      <c r="P116" s="8">
        <f>RAW[[#This Row],[Salary]]*RAW[[#This Row],[Eligible Bonus Amount]]</f>
        <v>3890.9500000000003</v>
      </c>
    </row>
    <row r="117" spans="1:16" x14ac:dyDescent="0.25">
      <c r="A117" s="14" t="s">
        <v>151</v>
      </c>
      <c r="B117" s="14" t="s">
        <v>199</v>
      </c>
      <c r="C117" t="s">
        <v>40</v>
      </c>
      <c r="D117" s="14" t="str">
        <f t="shared" si="6"/>
        <v>MKT04</v>
      </c>
      <c r="E117" s="14" t="str">
        <f>VLOOKUP(RAW[[#This Row],[Dept Code]],Table4[#All],2,FALSE)</f>
        <v>Marketing</v>
      </c>
      <c r="F117" s="2">
        <v>42865</v>
      </c>
      <c r="G117" s="6">
        <f ca="1">DATEDIF(RAW[[#This Row],[Hire Date]], TODAY(), "Y")</f>
        <v>9</v>
      </c>
      <c r="H117" s="12">
        <v>48748</v>
      </c>
      <c r="I117" s="12" cm="1">
        <f t="array" ref="I117">IF(H117="",MEDIAN(IF(($E$2:$E$151=E117)*($H$2:$H$151&lt;&gt;""),$H$2:$H$151)),H117)</f>
        <v>48748</v>
      </c>
      <c r="J117" s="6">
        <v>83</v>
      </c>
      <c r="K117" s="14" t="str" cm="1">
        <f t="array" ref="K117">_xlfn.IFS(RAW[[#This Row],[Perf_Score]]&gt;=95,"Outstanding",RAW[[#This Row],[Perf_Score]]&gt;=85,"Exceeding",RAW[[#This Row],[Perf_Score]]&gt;=70,"Achieving",RAW[[#This Row],[Perf_Score]]&gt;=50,"Developing",RAW[[#This Row],[Perf_Score]]&lt;=49,"Needs Improvement")</f>
        <v>Achieving</v>
      </c>
      <c r="L117" s="14" t="s">
        <v>29</v>
      </c>
      <c r="M117" s="17">
        <f>IF(OR(RAW[[#This Row],[Employment Status]]="Left",RAW[[#This Row],[Employment Status]]="Resigned" ), 1, 0)</f>
        <v>0</v>
      </c>
      <c r="N117" s="17" t="str" cm="1">
        <f t="array" ref="N117">_xlfn.IFS(RAW[[#This Row],[Left/Resigned Band]]=0,"Active",RAW[[#This Row],[Left/Resigned Band]]=1,"Left")</f>
        <v>Active</v>
      </c>
      <c r="O117" s="22" t="str" cm="1">
        <f t="array" ref="O117">_xlfn.IFS(RAW[[#This Row],[Perf_Score]]&gt;=95,"0.12",RAW[[#This Row],[Perf_Score]]&gt;=85,"0.08",RAW[[#This Row],[Perf_Score]]&gt;=70,"0.05",RAW[[#This Row],[Perf_Score]]&gt;=50,"0.02",RAW[[#This Row],[Perf_Score]]&lt;=49,"0")</f>
        <v>0.05</v>
      </c>
      <c r="P117" s="8">
        <f>RAW[[#This Row],[Salary]]*RAW[[#This Row],[Eligible Bonus Amount]]</f>
        <v>2437.4</v>
      </c>
    </row>
    <row r="118" spans="1:16" x14ac:dyDescent="0.25">
      <c r="A118" s="14" t="s">
        <v>152</v>
      </c>
      <c r="B118" s="14" t="s">
        <v>272</v>
      </c>
      <c r="C118" t="s">
        <v>21</v>
      </c>
      <c r="D118" s="14" t="str">
        <f t="shared" si="6"/>
        <v>OPS06</v>
      </c>
      <c r="E118" s="14" t="str">
        <f>VLOOKUP(RAW[[#This Row],[Dept Code]],Table4[#All],2,FALSE)</f>
        <v>Operations</v>
      </c>
      <c r="F118" s="2">
        <v>43971</v>
      </c>
      <c r="G118" s="6">
        <f ca="1">DATEDIF(RAW[[#This Row],[Hire Date]], TODAY(), "Y")</f>
        <v>6</v>
      </c>
      <c r="H118" s="12">
        <v>101997</v>
      </c>
      <c r="I118" s="12" cm="1">
        <f t="array" ref="I118">IF(H118="",MEDIAN(IF(($E$2:$E$151=E118)*($H$2:$H$151&lt;&gt;""),$H$2:$H$151)),H118)</f>
        <v>101997</v>
      </c>
      <c r="J118" s="6">
        <v>38</v>
      </c>
      <c r="K118" s="14" t="str" cm="1">
        <f t="array" ref="K118">_xlfn.IFS(RAW[[#This Row],[Perf_Score]]&gt;=95,"Outstanding",RAW[[#This Row],[Perf_Score]]&gt;=85,"Exceeding",RAW[[#This Row],[Perf_Score]]&gt;=70,"Achieving",RAW[[#This Row],[Perf_Score]]&gt;=50,"Developing",RAW[[#This Row],[Perf_Score]]&lt;=49,"Needs Improvement")</f>
        <v>Needs Improvement</v>
      </c>
      <c r="L118" s="14" t="s">
        <v>75</v>
      </c>
      <c r="M118" s="17">
        <f>IF(OR(RAW[[#This Row],[Employment Status]]="Left",RAW[[#This Row],[Employment Status]]="Resigned" ), 1, 0)</f>
        <v>1</v>
      </c>
      <c r="N118" s="17" t="str" cm="1">
        <f t="array" ref="N118">_xlfn.IFS(RAW[[#This Row],[Left/Resigned Band]]=0,"Active",RAW[[#This Row],[Left/Resigned Band]]=1,"Left")</f>
        <v>Left</v>
      </c>
      <c r="O118" s="22" t="str" cm="1">
        <f t="array" ref="O118">_xlfn.IFS(RAW[[#This Row],[Perf_Score]]&gt;=95,"0.12",RAW[[#This Row],[Perf_Score]]&gt;=85,"0.08",RAW[[#This Row],[Perf_Score]]&gt;=70,"0.05",RAW[[#This Row],[Perf_Score]]&gt;=50,"0.02",RAW[[#This Row],[Perf_Score]]&lt;=49,"0")</f>
        <v>0</v>
      </c>
      <c r="P118" s="8">
        <f>RAW[[#This Row],[Salary]]*RAW[[#This Row],[Eligible Bonus Amount]]</f>
        <v>0</v>
      </c>
    </row>
    <row r="119" spans="1:16" x14ac:dyDescent="0.25">
      <c r="A119" s="14" t="s">
        <v>153</v>
      </c>
      <c r="B119" s="14" t="s">
        <v>273</v>
      </c>
      <c r="C119" t="s">
        <v>64</v>
      </c>
      <c r="D119" s="14" t="str">
        <f t="shared" si="6"/>
        <v>HR01</v>
      </c>
      <c r="E119" s="14" t="str">
        <f>VLOOKUP(RAW[[#This Row],[Dept Code]],Table4[#All],2,FALSE)</f>
        <v>Human Resources</v>
      </c>
      <c r="F119" s="2">
        <v>45036</v>
      </c>
      <c r="G119" s="6">
        <f ca="1">DATEDIF(RAW[[#This Row],[Hire Date]], TODAY(), "Y")</f>
        <v>3</v>
      </c>
      <c r="H119" s="12">
        <v>115260</v>
      </c>
      <c r="I119" s="12" cm="1">
        <f t="array" ref="I119">IF(H119="",MEDIAN(IF(($E$2:$E$151=E119)*($H$2:$H$151&lt;&gt;""),$H$2:$H$151)),H119)</f>
        <v>115260</v>
      </c>
      <c r="J119" s="6">
        <v>77</v>
      </c>
      <c r="K119" s="14" t="str" cm="1">
        <f t="array" ref="K119">_xlfn.IFS(RAW[[#This Row],[Perf_Score]]&gt;=95,"Outstanding",RAW[[#This Row],[Perf_Score]]&gt;=85,"Exceeding",RAW[[#This Row],[Perf_Score]]&gt;=70,"Achieving",RAW[[#This Row],[Perf_Score]]&gt;=50,"Developing",RAW[[#This Row],[Perf_Score]]&lt;=49,"Needs Improvement")</f>
        <v>Achieving</v>
      </c>
      <c r="L119" s="14" t="s">
        <v>29</v>
      </c>
      <c r="M119" s="17">
        <f>IF(OR(RAW[[#This Row],[Employment Status]]="Left",RAW[[#This Row],[Employment Status]]="Resigned" ), 1, 0)</f>
        <v>0</v>
      </c>
      <c r="N119" s="17" t="str" cm="1">
        <f t="array" ref="N119">_xlfn.IFS(RAW[[#This Row],[Left/Resigned Band]]=0,"Active",RAW[[#This Row],[Left/Resigned Band]]=1,"Left")</f>
        <v>Active</v>
      </c>
      <c r="O119" s="22" t="str" cm="1">
        <f t="array" ref="O119">_xlfn.IFS(RAW[[#This Row],[Perf_Score]]&gt;=95,"0.12",RAW[[#This Row],[Perf_Score]]&gt;=85,"0.08",RAW[[#This Row],[Perf_Score]]&gt;=70,"0.05",RAW[[#This Row],[Perf_Score]]&gt;=50,"0.02",RAW[[#This Row],[Perf_Score]]&lt;=49,"0")</f>
        <v>0.05</v>
      </c>
      <c r="P119" s="8">
        <f>RAW[[#This Row],[Salary]]*RAW[[#This Row],[Eligible Bonus Amount]]</f>
        <v>5763</v>
      </c>
    </row>
    <row r="120" spans="1:16" x14ac:dyDescent="0.25">
      <c r="A120" t="s">
        <v>154</v>
      </c>
      <c r="B120" t="s">
        <v>274</v>
      </c>
      <c r="C120" t="s">
        <v>28</v>
      </c>
      <c r="D120" t="str">
        <f t="shared" si="6"/>
        <v>SAL05</v>
      </c>
      <c r="E120" t="str">
        <f>VLOOKUP(RAW[[#This Row],[Dept Code]],Table4[#All],2,FALSE)</f>
        <v>Sales</v>
      </c>
      <c r="F120" s="2">
        <v>44500</v>
      </c>
      <c r="G120" s="6">
        <f ca="1">DATEDIF(RAW[[#This Row],[Hire Date]], TODAY(), "Y")</f>
        <v>4</v>
      </c>
      <c r="I120" s="12" cm="1">
        <f t="array" ref="I120">IF(H120="",MEDIAN(IF(($E$2:$E$151=E120)*($H$2:$H$151&lt;&gt;""),$H$2:$H$151)),H120)</f>
        <v>81205</v>
      </c>
      <c r="J120">
        <v>49</v>
      </c>
      <c r="K120" t="str" cm="1">
        <f t="array" ref="K120">_xlfn.IFS(RAW[[#This Row],[Perf_Score]]&gt;=95,"Outstanding",RAW[[#This Row],[Perf_Score]]&gt;=85,"Exceeding",RAW[[#This Row],[Perf_Score]]&gt;=70,"Achieving",RAW[[#This Row],[Perf_Score]]&gt;=50,"Developing",RAW[[#This Row],[Perf_Score]]&lt;=49,"Needs Improvement")</f>
        <v>Needs Improvement</v>
      </c>
      <c r="L120" t="s">
        <v>29</v>
      </c>
      <c r="M120">
        <f>IF(OR(RAW[[#This Row],[Employment Status]]="Left",RAW[[#This Row],[Employment Status]]="Resigned" ), 1, 0)</f>
        <v>0</v>
      </c>
      <c r="N120" t="str" cm="1">
        <f t="array" ref="N120">_xlfn.IFS(RAW[[#This Row],[Left/Resigned Band]]=0,"Active",RAW[[#This Row],[Left/Resigned Band]]=1,"Left")</f>
        <v>Active</v>
      </c>
      <c r="O120" t="str" cm="1">
        <f t="array" ref="O120">_xlfn.IFS(RAW[[#This Row],[Perf_Score]]&gt;=95,"0.12",RAW[[#This Row],[Perf_Score]]&gt;=85,"0.08",RAW[[#This Row],[Perf_Score]]&gt;=70,"0.05",RAW[[#This Row],[Perf_Score]]&gt;=50,"0.02",RAW[[#This Row],[Perf_Score]]&lt;=49,"0")</f>
        <v>0</v>
      </c>
      <c r="P120" s="3">
        <f t="shared" si="7"/>
        <v>0</v>
      </c>
    </row>
    <row r="121" spans="1:16" x14ac:dyDescent="0.25">
      <c r="A121" t="s">
        <v>155</v>
      </c>
      <c r="B121" t="s">
        <v>217</v>
      </c>
      <c r="C121" t="s">
        <v>14</v>
      </c>
      <c r="D121" t="str">
        <f t="shared" si="6"/>
        <v>IT02</v>
      </c>
      <c r="E121" t="str">
        <f>VLOOKUP(RAW[[#This Row],[Dept Code]],Table4[#All],2,FALSE)</f>
        <v>Information Technology</v>
      </c>
      <c r="F121" s="2">
        <v>44493</v>
      </c>
      <c r="G121" s="6">
        <f ca="1">DATEDIF(RAW[[#This Row],[Hire Date]], TODAY(), "Y")</f>
        <v>4</v>
      </c>
      <c r="I121" s="12" cm="1">
        <f t="array" ref="I121">IF(H121="",MEDIAN(IF(($E$2:$E$151=E121)*($H$2:$H$151&lt;&gt;""),$H$2:$H$151)),H121)</f>
        <v>77819</v>
      </c>
      <c r="J121">
        <v>69</v>
      </c>
      <c r="K121" t="str" cm="1">
        <f t="array" ref="K121">_xlfn.IFS(RAW[[#This Row],[Perf_Score]]&gt;=95,"Outstanding",RAW[[#This Row],[Perf_Score]]&gt;=85,"Exceeding",RAW[[#This Row],[Perf_Score]]&gt;=70,"Achieving",RAW[[#This Row],[Perf_Score]]&gt;=50,"Developing",RAW[[#This Row],[Perf_Score]]&lt;=49,"Needs Improvement")</f>
        <v>Developing</v>
      </c>
      <c r="L121" t="s">
        <v>19</v>
      </c>
      <c r="M121">
        <f>IF(OR(RAW[[#This Row],[Employment Status]]="Left",RAW[[#This Row],[Employment Status]]="Resigned" ), 1, 0)</f>
        <v>1</v>
      </c>
      <c r="N121" t="str" cm="1">
        <f t="array" ref="N121">_xlfn.IFS(RAW[[#This Row],[Left/Resigned Band]]=0,"Active",RAW[[#This Row],[Left/Resigned Band]]=1,"Left")</f>
        <v>Left</v>
      </c>
      <c r="O121" t="str" cm="1">
        <f t="array" ref="O121">_xlfn.IFS(RAW[[#This Row],[Perf_Score]]&gt;=95,"0.12",RAW[[#This Row],[Perf_Score]]&gt;=85,"0.08",RAW[[#This Row],[Perf_Score]]&gt;=70,"0.05",RAW[[#This Row],[Perf_Score]]&gt;=50,"0.02",RAW[[#This Row],[Perf_Score]]&lt;=49,"0")</f>
        <v>0.02</v>
      </c>
      <c r="P121" s="3">
        <f t="shared" si="7"/>
        <v>0</v>
      </c>
    </row>
    <row r="122" spans="1:16" x14ac:dyDescent="0.25">
      <c r="A122" t="s">
        <v>156</v>
      </c>
      <c r="B122" t="s">
        <v>275</v>
      </c>
      <c r="C122" t="s">
        <v>28</v>
      </c>
      <c r="D122" t="str">
        <f t="shared" si="6"/>
        <v>SAL05</v>
      </c>
      <c r="E122" t="str">
        <f>VLOOKUP(RAW[[#This Row],[Dept Code]],Table4[#All],2,FALSE)</f>
        <v>Sales</v>
      </c>
      <c r="F122" s="2">
        <v>42956</v>
      </c>
      <c r="G122" s="6">
        <f ca="1">DATEDIF(RAW[[#This Row],[Hire Date]], TODAY(), "Y")</f>
        <v>8</v>
      </c>
      <c r="I122" s="12" cm="1">
        <f t="array" ref="I122">IF(H122="",MEDIAN(IF(($E$2:$E$151=E122)*($H$2:$H$151&lt;&gt;""),$H$2:$H$151)),H122)</f>
        <v>81205</v>
      </c>
      <c r="J122">
        <v>76</v>
      </c>
      <c r="K122" t="str" cm="1">
        <f t="array" ref="K122">_xlfn.IFS(RAW[[#This Row],[Perf_Score]]&gt;=95,"Outstanding",RAW[[#This Row],[Perf_Score]]&gt;=85,"Exceeding",RAW[[#This Row],[Perf_Score]]&gt;=70,"Achieving",RAW[[#This Row],[Perf_Score]]&gt;=50,"Developing",RAW[[#This Row],[Perf_Score]]&lt;=49,"Needs Improvement")</f>
        <v>Achieving</v>
      </c>
      <c r="L122" t="s">
        <v>29</v>
      </c>
      <c r="M122">
        <f>IF(OR(RAW[[#This Row],[Employment Status]]="Left",RAW[[#This Row],[Employment Status]]="Resigned" ), 1, 0)</f>
        <v>0</v>
      </c>
      <c r="N122" t="str" cm="1">
        <f t="array" ref="N122">_xlfn.IFS(RAW[[#This Row],[Left/Resigned Band]]=0,"Active",RAW[[#This Row],[Left/Resigned Band]]=1,"Left")</f>
        <v>Active</v>
      </c>
      <c r="O122" t="str" cm="1">
        <f t="array" ref="O122">_xlfn.IFS(RAW[[#This Row],[Perf_Score]]&gt;=95,"0.12",RAW[[#This Row],[Perf_Score]]&gt;=85,"0.08",RAW[[#This Row],[Perf_Score]]&gt;=70,"0.05",RAW[[#This Row],[Perf_Score]]&gt;=50,"0.02",RAW[[#This Row],[Perf_Score]]&lt;=49,"0")</f>
        <v>0.05</v>
      </c>
      <c r="P122" s="3">
        <f t="shared" si="7"/>
        <v>0</v>
      </c>
    </row>
    <row r="123" spans="1:16" x14ac:dyDescent="0.25">
      <c r="A123" s="14" t="s">
        <v>157</v>
      </c>
      <c r="B123" s="14" t="s">
        <v>276</v>
      </c>
      <c r="C123" t="s">
        <v>110</v>
      </c>
      <c r="D123" s="14" t="str">
        <f t="shared" si="6"/>
        <v>OPS06</v>
      </c>
      <c r="E123" s="14" t="str">
        <f>VLOOKUP(RAW[[#This Row],[Dept Code]],Table4[#All],2,FALSE)</f>
        <v>Operations</v>
      </c>
      <c r="F123" s="2">
        <v>44930</v>
      </c>
      <c r="G123" s="6">
        <f ca="1">DATEDIF(RAW[[#This Row],[Hire Date]], TODAY(), "Y")</f>
        <v>3</v>
      </c>
      <c r="H123" s="12">
        <v>60623</v>
      </c>
      <c r="I123" s="12" cm="1">
        <f t="array" ref="I123">IF(H123="",MEDIAN(IF(($E$2:$E$151=E123)*($H$2:$H$151&lt;&gt;""),$H$2:$H$151)),H123)</f>
        <v>60623</v>
      </c>
      <c r="J123" s="6">
        <v>78</v>
      </c>
      <c r="K123" s="14" t="str" cm="1">
        <f t="array" ref="K123">_xlfn.IFS(RAW[[#This Row],[Perf_Score]]&gt;=95,"Outstanding",RAW[[#This Row],[Perf_Score]]&gt;=85,"Exceeding",RAW[[#This Row],[Perf_Score]]&gt;=70,"Achieving",RAW[[#This Row],[Perf_Score]]&gt;=50,"Developing",RAW[[#This Row],[Perf_Score]]&lt;=49,"Needs Improvement")</f>
        <v>Achieving</v>
      </c>
      <c r="L123" s="14" t="s">
        <v>29</v>
      </c>
      <c r="M123" s="17">
        <f>IF(OR(RAW[[#This Row],[Employment Status]]="Left",RAW[[#This Row],[Employment Status]]="Resigned" ), 1, 0)</f>
        <v>0</v>
      </c>
      <c r="N123" s="17" t="str" cm="1">
        <f t="array" ref="N123">_xlfn.IFS(RAW[[#This Row],[Left/Resigned Band]]=0,"Active",RAW[[#This Row],[Left/Resigned Band]]=1,"Left")</f>
        <v>Active</v>
      </c>
      <c r="O123" s="22" t="str" cm="1">
        <f t="array" ref="O123">_xlfn.IFS(RAW[[#This Row],[Perf_Score]]&gt;=95,"0.12",RAW[[#This Row],[Perf_Score]]&gt;=85,"0.08",RAW[[#This Row],[Perf_Score]]&gt;=70,"0.05",RAW[[#This Row],[Perf_Score]]&gt;=50,"0.02",RAW[[#This Row],[Perf_Score]]&lt;=49,"0")</f>
        <v>0.05</v>
      </c>
      <c r="P123" s="8">
        <f>RAW[[#This Row],[Salary]]*RAW[[#This Row],[Eligible Bonus Amount]]</f>
        <v>3031.15</v>
      </c>
    </row>
    <row r="124" spans="1:16" x14ac:dyDescent="0.25">
      <c r="A124" s="14" t="s">
        <v>158</v>
      </c>
      <c r="B124" s="14" t="s">
        <v>229</v>
      </c>
      <c r="C124" t="s">
        <v>103</v>
      </c>
      <c r="D124" s="14" t="str">
        <f t="shared" si="6"/>
        <v>HR01</v>
      </c>
      <c r="E124" s="14" t="str">
        <f>VLOOKUP(RAW[[#This Row],[Dept Code]],Table4[#All],2,FALSE)</f>
        <v>Human Resources</v>
      </c>
      <c r="F124" s="2">
        <v>44053</v>
      </c>
      <c r="G124" s="6">
        <f ca="1">DATEDIF(RAW[[#This Row],[Hire Date]], TODAY(), "Y")</f>
        <v>5</v>
      </c>
      <c r="H124" s="12">
        <v>68092</v>
      </c>
      <c r="I124" s="12" cm="1">
        <f t="array" ref="I124">IF(H124="",MEDIAN(IF(($E$2:$E$151=E124)*($H$2:$H$151&lt;&gt;""),$H$2:$H$151)),H124)</f>
        <v>68092</v>
      </c>
      <c r="J124" s="6">
        <v>93</v>
      </c>
      <c r="K124" s="14" t="str" cm="1">
        <f t="array" ref="K124">_xlfn.IFS(RAW[[#This Row],[Perf_Score]]&gt;=95,"Outstanding",RAW[[#This Row],[Perf_Score]]&gt;=85,"Exceeding",RAW[[#This Row],[Perf_Score]]&gt;=70,"Achieving",RAW[[#This Row],[Perf_Score]]&gt;=50,"Developing",RAW[[#This Row],[Perf_Score]]&lt;=49,"Needs Improvement")</f>
        <v>Exceeding</v>
      </c>
      <c r="L124" s="14" t="s">
        <v>29</v>
      </c>
      <c r="M124" s="17">
        <f>IF(OR(RAW[[#This Row],[Employment Status]]="Left",RAW[[#This Row],[Employment Status]]="Resigned" ), 1, 0)</f>
        <v>0</v>
      </c>
      <c r="N124" s="17" t="str" cm="1">
        <f t="array" ref="N124">_xlfn.IFS(RAW[[#This Row],[Left/Resigned Band]]=0,"Active",RAW[[#This Row],[Left/Resigned Band]]=1,"Left")</f>
        <v>Active</v>
      </c>
      <c r="O124" s="22" t="str" cm="1">
        <f t="array" ref="O124">_xlfn.IFS(RAW[[#This Row],[Perf_Score]]&gt;=95,"0.12",RAW[[#This Row],[Perf_Score]]&gt;=85,"0.08",RAW[[#This Row],[Perf_Score]]&gt;=70,"0.05",RAW[[#This Row],[Perf_Score]]&gt;=50,"0.02",RAW[[#This Row],[Perf_Score]]&lt;=49,"0")</f>
        <v>0.08</v>
      </c>
      <c r="P124" s="8">
        <f>RAW[[#This Row],[Salary]]*RAW[[#This Row],[Eligible Bonus Amount]]</f>
        <v>5447.36</v>
      </c>
    </row>
    <row r="125" spans="1:16" x14ac:dyDescent="0.25">
      <c r="A125" s="14" t="s">
        <v>159</v>
      </c>
      <c r="B125" s="14" t="s">
        <v>210</v>
      </c>
      <c r="C125" t="s">
        <v>11</v>
      </c>
      <c r="D125" s="14" t="str">
        <f t="shared" si="6"/>
        <v>MKT04</v>
      </c>
      <c r="E125" s="14" t="str">
        <f>VLOOKUP(RAW[[#This Row],[Dept Code]],Table4[#All],2,FALSE)</f>
        <v>Marketing</v>
      </c>
      <c r="F125" s="2">
        <v>44653</v>
      </c>
      <c r="G125" s="6">
        <f ca="1">DATEDIF(RAW[[#This Row],[Hire Date]], TODAY(), "Y")</f>
        <v>4</v>
      </c>
      <c r="H125" s="12">
        <v>88155</v>
      </c>
      <c r="I125" s="12" cm="1">
        <f t="array" ref="I125">IF(H125="",MEDIAN(IF(($E$2:$E$151=E125)*($H$2:$H$151&lt;&gt;""),$H$2:$H$151)),H125)</f>
        <v>88155</v>
      </c>
      <c r="J125" s="6">
        <v>68</v>
      </c>
      <c r="K125" s="14" t="str" cm="1">
        <f t="array" ref="K125">_xlfn.IFS(RAW[[#This Row],[Perf_Score]]&gt;=95,"Outstanding",RAW[[#This Row],[Perf_Score]]&gt;=85,"Exceeding",RAW[[#This Row],[Perf_Score]]&gt;=70,"Achieving",RAW[[#This Row],[Perf_Score]]&gt;=50,"Developing",RAW[[#This Row],[Perf_Score]]&lt;=49,"Needs Improvement")</f>
        <v>Developing</v>
      </c>
      <c r="L125" s="14" t="s">
        <v>29</v>
      </c>
      <c r="M125" s="17">
        <f>IF(OR(RAW[[#This Row],[Employment Status]]="Left",RAW[[#This Row],[Employment Status]]="Resigned" ), 1, 0)</f>
        <v>0</v>
      </c>
      <c r="N125" s="17" t="str" cm="1">
        <f t="array" ref="N125">_xlfn.IFS(RAW[[#This Row],[Left/Resigned Band]]=0,"Active",RAW[[#This Row],[Left/Resigned Band]]=1,"Left")</f>
        <v>Active</v>
      </c>
      <c r="O125" s="22" t="str" cm="1">
        <f t="array" ref="O125">_xlfn.IFS(RAW[[#This Row],[Perf_Score]]&gt;=95,"0.12",RAW[[#This Row],[Perf_Score]]&gt;=85,"0.08",RAW[[#This Row],[Perf_Score]]&gt;=70,"0.05",RAW[[#This Row],[Perf_Score]]&gt;=50,"0.02",RAW[[#This Row],[Perf_Score]]&lt;=49,"0")</f>
        <v>0.02</v>
      </c>
      <c r="P125" s="8">
        <f>RAW[[#This Row],[Salary]]*RAW[[#This Row],[Eligible Bonus Amount]]</f>
        <v>1763.1000000000001</v>
      </c>
    </row>
    <row r="126" spans="1:16" x14ac:dyDescent="0.25">
      <c r="A126" s="14" t="s">
        <v>160</v>
      </c>
      <c r="B126" s="14" t="s">
        <v>277</v>
      </c>
      <c r="C126" t="s">
        <v>11</v>
      </c>
      <c r="D126" s="14" t="str">
        <f t="shared" si="6"/>
        <v>MKT04</v>
      </c>
      <c r="E126" s="14" t="str">
        <f>VLOOKUP(RAW[[#This Row],[Dept Code]],Table4[#All],2,FALSE)</f>
        <v>Marketing</v>
      </c>
      <c r="F126" s="2">
        <v>43183</v>
      </c>
      <c r="G126" s="6">
        <f ca="1">DATEDIF(RAW[[#This Row],[Hire Date]], TODAY(), "Y")</f>
        <v>8</v>
      </c>
      <c r="H126" s="12">
        <v>107903</v>
      </c>
      <c r="I126" s="12" cm="1">
        <f t="array" ref="I126">IF(H126="",MEDIAN(IF(($E$2:$E$151=E126)*($H$2:$H$151&lt;&gt;""),$H$2:$H$151)),H126)</f>
        <v>107903</v>
      </c>
      <c r="J126" s="6">
        <v>42</v>
      </c>
      <c r="K126" s="14" t="str" cm="1">
        <f t="array" ref="K126">_xlfn.IFS(RAW[[#This Row],[Perf_Score]]&gt;=95,"Outstanding",RAW[[#This Row],[Perf_Score]]&gt;=85,"Exceeding",RAW[[#This Row],[Perf_Score]]&gt;=70,"Achieving",RAW[[#This Row],[Perf_Score]]&gt;=50,"Developing",RAW[[#This Row],[Perf_Score]]&lt;=49,"Needs Improvement")</f>
        <v>Needs Improvement</v>
      </c>
      <c r="L126" s="14" t="s">
        <v>296</v>
      </c>
      <c r="M126" s="17">
        <f>IF(OR(RAW[[#This Row],[Employment Status]]="Left",RAW[[#This Row],[Employment Status]]="Resigned" ), 1, 0)</f>
        <v>0</v>
      </c>
      <c r="N126" s="17" t="str" cm="1">
        <f t="array" ref="N126">_xlfn.IFS(RAW[[#This Row],[Left/Resigned Band]]=0,"Active",RAW[[#This Row],[Left/Resigned Band]]=1,"Left")</f>
        <v>Active</v>
      </c>
      <c r="O126" s="22" t="str" cm="1">
        <f t="array" ref="O126">_xlfn.IFS(RAW[[#This Row],[Perf_Score]]&gt;=95,"0.12",RAW[[#This Row],[Perf_Score]]&gt;=85,"0.08",RAW[[#This Row],[Perf_Score]]&gt;=70,"0.05",RAW[[#This Row],[Perf_Score]]&gt;=50,"0.02",RAW[[#This Row],[Perf_Score]]&lt;=49,"0")</f>
        <v>0</v>
      </c>
      <c r="P126" s="8">
        <f>RAW[[#This Row],[Salary]]*RAW[[#This Row],[Eligible Bonus Amount]]</f>
        <v>0</v>
      </c>
    </row>
    <row r="127" spans="1:16" x14ac:dyDescent="0.25">
      <c r="A127" s="14" t="s">
        <v>161</v>
      </c>
      <c r="B127" s="14" t="s">
        <v>266</v>
      </c>
      <c r="C127" t="s">
        <v>8</v>
      </c>
      <c r="D127" s="14" t="str">
        <f t="shared" si="6"/>
        <v>IT02</v>
      </c>
      <c r="E127" s="14" t="str">
        <f>VLOOKUP(RAW[[#This Row],[Dept Code]],Table4[#All],2,FALSE)</f>
        <v>Information Technology</v>
      </c>
      <c r="F127" s="2">
        <v>43305</v>
      </c>
      <c r="G127" s="6">
        <f ca="1">DATEDIF(RAW[[#This Row],[Hire Date]], TODAY(), "Y")</f>
        <v>7</v>
      </c>
      <c r="H127" s="12">
        <v>62818</v>
      </c>
      <c r="I127" s="12" cm="1">
        <f t="array" ref="I127">IF(H127="",MEDIAN(IF(($E$2:$E$151=E127)*($H$2:$H$151&lt;&gt;""),$H$2:$H$151)),H127)</f>
        <v>62818</v>
      </c>
      <c r="J127" s="6">
        <v>34</v>
      </c>
      <c r="K127" s="14" t="str" cm="1">
        <f t="array" ref="K127">_xlfn.IFS(RAW[[#This Row],[Perf_Score]]&gt;=95,"Outstanding",RAW[[#This Row],[Perf_Score]]&gt;=85,"Exceeding",RAW[[#This Row],[Perf_Score]]&gt;=70,"Achieving",RAW[[#This Row],[Perf_Score]]&gt;=50,"Developing",RAW[[#This Row],[Perf_Score]]&lt;=49,"Needs Improvement")</f>
        <v>Needs Improvement</v>
      </c>
      <c r="L127" s="14" t="s">
        <v>296</v>
      </c>
      <c r="M127" s="17">
        <f>IF(OR(RAW[[#This Row],[Employment Status]]="Left",RAW[[#This Row],[Employment Status]]="Resigned" ), 1, 0)</f>
        <v>0</v>
      </c>
      <c r="N127" s="17" t="str" cm="1">
        <f t="array" ref="N127">_xlfn.IFS(RAW[[#This Row],[Left/Resigned Band]]=0,"Active",RAW[[#This Row],[Left/Resigned Band]]=1,"Left")</f>
        <v>Active</v>
      </c>
      <c r="O127" s="22" t="str" cm="1">
        <f t="array" ref="O127">_xlfn.IFS(RAW[[#This Row],[Perf_Score]]&gt;=95,"0.12",RAW[[#This Row],[Perf_Score]]&gt;=85,"0.08",RAW[[#This Row],[Perf_Score]]&gt;=70,"0.05",RAW[[#This Row],[Perf_Score]]&gt;=50,"0.02",RAW[[#This Row],[Perf_Score]]&lt;=49,"0")</f>
        <v>0</v>
      </c>
      <c r="P127" s="8">
        <f>RAW[[#This Row],[Salary]]*RAW[[#This Row],[Eligible Bonus Amount]]</f>
        <v>0</v>
      </c>
    </row>
    <row r="128" spans="1:16" x14ac:dyDescent="0.25">
      <c r="A128" s="14" t="s">
        <v>162</v>
      </c>
      <c r="B128" s="14" t="s">
        <v>254</v>
      </c>
      <c r="C128" t="s">
        <v>103</v>
      </c>
      <c r="D128" s="14" t="str">
        <f t="shared" si="6"/>
        <v>HR01</v>
      </c>
      <c r="E128" s="14" t="str">
        <f>VLOOKUP(RAW[[#This Row],[Dept Code]],Table4[#All],2,FALSE)</f>
        <v>Human Resources</v>
      </c>
      <c r="F128" s="2">
        <v>43301</v>
      </c>
      <c r="G128" s="6">
        <f ca="1">DATEDIF(RAW[[#This Row],[Hire Date]], TODAY(), "Y")</f>
        <v>7</v>
      </c>
      <c r="H128" s="12">
        <v>85151</v>
      </c>
      <c r="I128" s="12" cm="1">
        <f t="array" ref="I128">IF(H128="",MEDIAN(IF(($E$2:$E$151=E128)*($H$2:$H$151&lt;&gt;""),$H$2:$H$151)),H128)</f>
        <v>85151</v>
      </c>
      <c r="J128" s="6">
        <v>35</v>
      </c>
      <c r="K128" s="14" t="str" cm="1">
        <f t="array" ref="K128">_xlfn.IFS(RAW[[#This Row],[Perf_Score]]&gt;=95,"Outstanding",RAW[[#This Row],[Perf_Score]]&gt;=85,"Exceeding",RAW[[#This Row],[Perf_Score]]&gt;=70,"Achieving",RAW[[#This Row],[Perf_Score]]&gt;=50,"Developing",RAW[[#This Row],[Perf_Score]]&lt;=49,"Needs Improvement")</f>
        <v>Needs Improvement</v>
      </c>
      <c r="L128" s="14" t="s">
        <v>296</v>
      </c>
      <c r="M128" s="17">
        <f>IF(OR(RAW[[#This Row],[Employment Status]]="Left",RAW[[#This Row],[Employment Status]]="Resigned" ), 1, 0)</f>
        <v>0</v>
      </c>
      <c r="N128" s="17" t="str" cm="1">
        <f t="array" ref="N128">_xlfn.IFS(RAW[[#This Row],[Left/Resigned Band]]=0,"Active",RAW[[#This Row],[Left/Resigned Band]]=1,"Left")</f>
        <v>Active</v>
      </c>
      <c r="O128" s="22" t="str" cm="1">
        <f t="array" ref="O128">_xlfn.IFS(RAW[[#This Row],[Perf_Score]]&gt;=95,"0.12",RAW[[#This Row],[Perf_Score]]&gt;=85,"0.08",RAW[[#This Row],[Perf_Score]]&gt;=70,"0.05",RAW[[#This Row],[Perf_Score]]&gt;=50,"0.02",RAW[[#This Row],[Perf_Score]]&lt;=49,"0")</f>
        <v>0</v>
      </c>
      <c r="P128" s="8">
        <f>RAW[[#This Row],[Salary]]*RAW[[#This Row],[Eligible Bonus Amount]]</f>
        <v>0</v>
      </c>
    </row>
    <row r="129" spans="1:16" x14ac:dyDescent="0.25">
      <c r="A129" s="14" t="s">
        <v>163</v>
      </c>
      <c r="B129" s="14" t="s">
        <v>230</v>
      </c>
      <c r="C129" t="s">
        <v>50</v>
      </c>
      <c r="D129" s="14" t="str">
        <f t="shared" si="6"/>
        <v>FIN03</v>
      </c>
      <c r="E129" s="14" t="str">
        <f>VLOOKUP(RAW[[#This Row],[Dept Code]],Table4[#All],2,FALSE)</f>
        <v>Finance</v>
      </c>
      <c r="F129" s="2">
        <v>42433</v>
      </c>
      <c r="G129" s="6">
        <f ca="1">DATEDIF(RAW[[#This Row],[Hire Date]], TODAY(), "Y")</f>
        <v>10</v>
      </c>
      <c r="H129" s="12">
        <v>46390</v>
      </c>
      <c r="I129" s="12" cm="1">
        <f t="array" ref="I129">IF(H129="",MEDIAN(IF(($E$2:$E$151=E129)*($H$2:$H$151&lt;&gt;""),$H$2:$H$151)),H129)</f>
        <v>46390</v>
      </c>
      <c r="J129" s="6">
        <v>95</v>
      </c>
      <c r="K129" s="14" t="str" cm="1">
        <f t="array" ref="K129">_xlfn.IFS(RAW[[#This Row],[Perf_Score]]&gt;=95,"Outstanding",RAW[[#This Row],[Perf_Score]]&gt;=85,"Exceeding",RAW[[#This Row],[Perf_Score]]&gt;=70,"Achieving",RAW[[#This Row],[Perf_Score]]&gt;=50,"Developing",RAW[[#This Row],[Perf_Score]]&lt;=49,"Needs Improvement")</f>
        <v>Outstanding</v>
      </c>
      <c r="L129" s="14" t="s">
        <v>29</v>
      </c>
      <c r="M129" s="17">
        <f>IF(OR(RAW[[#This Row],[Employment Status]]="Left",RAW[[#This Row],[Employment Status]]="Resigned" ), 1, 0)</f>
        <v>0</v>
      </c>
      <c r="N129" s="17" t="str" cm="1">
        <f t="array" ref="N129">_xlfn.IFS(RAW[[#This Row],[Left/Resigned Band]]=0,"Active",RAW[[#This Row],[Left/Resigned Band]]=1,"Left")</f>
        <v>Active</v>
      </c>
      <c r="O129" s="22" t="str" cm="1">
        <f t="array" ref="O129">_xlfn.IFS(RAW[[#This Row],[Perf_Score]]&gt;=95,"0.12",RAW[[#This Row],[Perf_Score]]&gt;=85,"0.08",RAW[[#This Row],[Perf_Score]]&gt;=70,"0.05",RAW[[#This Row],[Perf_Score]]&gt;=50,"0.02",RAW[[#This Row],[Perf_Score]]&lt;=49,"0")</f>
        <v>0.12</v>
      </c>
      <c r="P129" s="8">
        <f>RAW[[#This Row],[Salary]]*RAW[[#This Row],[Eligible Bonus Amount]]</f>
        <v>5566.8</v>
      </c>
    </row>
    <row r="130" spans="1:16" x14ac:dyDescent="0.25">
      <c r="A130" s="14" t="s">
        <v>164</v>
      </c>
      <c r="B130" s="14" t="s">
        <v>190</v>
      </c>
      <c r="C130" t="s">
        <v>103</v>
      </c>
      <c r="D130" s="14" t="str">
        <f t="shared" ref="D130:D151" si="8">UPPER(TRIM(C130))</f>
        <v>HR01</v>
      </c>
      <c r="E130" s="14" t="str">
        <f>VLOOKUP(RAW[[#This Row],[Dept Code]],Table4[#All],2,FALSE)</f>
        <v>Human Resources</v>
      </c>
      <c r="F130" s="2">
        <v>44643</v>
      </c>
      <c r="G130" s="6">
        <f ca="1">DATEDIF(RAW[[#This Row],[Hire Date]], TODAY(), "Y")</f>
        <v>4</v>
      </c>
      <c r="H130" s="12">
        <v>111920</v>
      </c>
      <c r="I130" s="12" cm="1">
        <f t="array" ref="I130">IF(H130="",MEDIAN(IF(($E$2:$E$151=E130)*($H$2:$H$151&lt;&gt;""),$H$2:$H$151)),H130)</f>
        <v>111920</v>
      </c>
      <c r="J130" s="6">
        <v>90</v>
      </c>
      <c r="K130" s="14" t="str" cm="1">
        <f t="array" ref="K130">_xlfn.IFS(RAW[[#This Row],[Perf_Score]]&gt;=95,"Outstanding",RAW[[#This Row],[Perf_Score]]&gt;=85,"Exceeding",RAW[[#This Row],[Perf_Score]]&gt;=70,"Achieving",RAW[[#This Row],[Perf_Score]]&gt;=50,"Developing",RAW[[#This Row],[Perf_Score]]&lt;=49,"Needs Improvement")</f>
        <v>Exceeding</v>
      </c>
      <c r="L130" s="14" t="s">
        <v>19</v>
      </c>
      <c r="M130" s="17">
        <f>IF(OR(RAW[[#This Row],[Employment Status]]="Left",RAW[[#This Row],[Employment Status]]="Resigned" ), 1, 0)</f>
        <v>1</v>
      </c>
      <c r="N130" s="17" t="str" cm="1">
        <f t="array" ref="N130">_xlfn.IFS(RAW[[#This Row],[Left/Resigned Band]]=0,"Active",RAW[[#This Row],[Left/Resigned Band]]=1,"Left")</f>
        <v>Left</v>
      </c>
      <c r="O130" s="22" t="str" cm="1">
        <f t="array" ref="O130">_xlfn.IFS(RAW[[#This Row],[Perf_Score]]&gt;=95,"0.12",RAW[[#This Row],[Perf_Score]]&gt;=85,"0.08",RAW[[#This Row],[Perf_Score]]&gt;=70,"0.05",RAW[[#This Row],[Perf_Score]]&gt;=50,"0.02",RAW[[#This Row],[Perf_Score]]&lt;=49,"0")</f>
        <v>0.08</v>
      </c>
      <c r="P130" s="8">
        <f>RAW[[#This Row],[Salary]]*RAW[[#This Row],[Eligible Bonus Amount]]</f>
        <v>8953.6</v>
      </c>
    </row>
    <row r="131" spans="1:16" x14ac:dyDescent="0.25">
      <c r="A131" s="14" t="s">
        <v>165</v>
      </c>
      <c r="B131" s="14" t="s">
        <v>278</v>
      </c>
      <c r="C131" t="s">
        <v>91</v>
      </c>
      <c r="D131" s="14" t="str">
        <f t="shared" si="8"/>
        <v>HR01</v>
      </c>
      <c r="E131" s="14" t="str">
        <f>VLOOKUP(RAW[[#This Row],[Dept Code]],Table4[#All],2,FALSE)</f>
        <v>Human Resources</v>
      </c>
      <c r="F131" s="2">
        <v>42944</v>
      </c>
      <c r="G131" s="6">
        <f ca="1">DATEDIF(RAW[[#This Row],[Hire Date]], TODAY(), "Y")</f>
        <v>8</v>
      </c>
      <c r="H131" s="12">
        <v>115618</v>
      </c>
      <c r="I131" s="12" cm="1">
        <f t="array" ref="I131">IF(H131="",MEDIAN(IF(($E$2:$E$151=E131)*($H$2:$H$151&lt;&gt;""),$H$2:$H$151)),H131)</f>
        <v>115618</v>
      </c>
      <c r="J131" s="6">
        <v>42</v>
      </c>
      <c r="K131" s="14" t="str" cm="1">
        <f t="array" ref="K131">_xlfn.IFS(RAW[[#This Row],[Perf_Score]]&gt;=95,"Outstanding",RAW[[#This Row],[Perf_Score]]&gt;=85,"Exceeding",RAW[[#This Row],[Perf_Score]]&gt;=70,"Achieving",RAW[[#This Row],[Perf_Score]]&gt;=50,"Developing",RAW[[#This Row],[Perf_Score]]&lt;=49,"Needs Improvement")</f>
        <v>Needs Improvement</v>
      </c>
      <c r="L131" s="14" t="s">
        <v>296</v>
      </c>
      <c r="M131" s="17">
        <f>IF(OR(RAW[[#This Row],[Employment Status]]="Left",RAW[[#This Row],[Employment Status]]="Resigned" ), 1, 0)</f>
        <v>0</v>
      </c>
      <c r="N131" s="17" t="str" cm="1">
        <f t="array" ref="N131">_xlfn.IFS(RAW[[#This Row],[Left/Resigned Band]]=0,"Active",RAW[[#This Row],[Left/Resigned Band]]=1,"Left")</f>
        <v>Active</v>
      </c>
      <c r="O131" s="22" t="str" cm="1">
        <f t="array" ref="O131">_xlfn.IFS(RAW[[#This Row],[Perf_Score]]&gt;=95,"0.12",RAW[[#This Row],[Perf_Score]]&gt;=85,"0.08",RAW[[#This Row],[Perf_Score]]&gt;=70,"0.05",RAW[[#This Row],[Perf_Score]]&gt;=50,"0.02",RAW[[#This Row],[Perf_Score]]&lt;=49,"0")</f>
        <v>0</v>
      </c>
      <c r="P131" s="8">
        <f>RAW[[#This Row],[Salary]]*RAW[[#This Row],[Eligible Bonus Amount]]</f>
        <v>0</v>
      </c>
    </row>
    <row r="132" spans="1:16" x14ac:dyDescent="0.25">
      <c r="A132" s="14" t="s">
        <v>166</v>
      </c>
      <c r="B132" s="14" t="s">
        <v>279</v>
      </c>
      <c r="C132" t="s">
        <v>28</v>
      </c>
      <c r="D132" s="14" t="str">
        <f t="shared" si="8"/>
        <v>SAL05</v>
      </c>
      <c r="E132" s="14" t="str">
        <f>VLOOKUP(RAW[[#This Row],[Dept Code]],Table4[#All],2,FALSE)</f>
        <v>Sales</v>
      </c>
      <c r="F132" s="2">
        <v>45057</v>
      </c>
      <c r="G132" s="6">
        <f ca="1">DATEDIF(RAW[[#This Row],[Hire Date]], TODAY(), "Y")</f>
        <v>3</v>
      </c>
      <c r="H132" s="12">
        <v>110618</v>
      </c>
      <c r="I132" s="12" cm="1">
        <f t="array" ref="I132">IF(H132="",MEDIAN(IF(($E$2:$E$151=E132)*($H$2:$H$151&lt;&gt;""),$H$2:$H$151)),H132)</f>
        <v>110618</v>
      </c>
      <c r="J132" s="6">
        <v>88</v>
      </c>
      <c r="K132" s="14" t="str" cm="1">
        <f t="array" ref="K132">_xlfn.IFS(RAW[[#This Row],[Perf_Score]]&gt;=95,"Outstanding",RAW[[#This Row],[Perf_Score]]&gt;=85,"Exceeding",RAW[[#This Row],[Perf_Score]]&gt;=70,"Achieving",RAW[[#This Row],[Perf_Score]]&gt;=50,"Developing",RAW[[#This Row],[Perf_Score]]&lt;=49,"Needs Improvement")</f>
        <v>Exceeding</v>
      </c>
      <c r="L132" s="14" t="s">
        <v>75</v>
      </c>
      <c r="M132" s="17">
        <f>IF(OR(RAW[[#This Row],[Employment Status]]="Left",RAW[[#This Row],[Employment Status]]="Resigned" ), 1, 0)</f>
        <v>1</v>
      </c>
      <c r="N132" s="17" t="str" cm="1">
        <f t="array" ref="N132">_xlfn.IFS(RAW[[#This Row],[Left/Resigned Band]]=0,"Active",RAW[[#This Row],[Left/Resigned Band]]=1,"Left")</f>
        <v>Left</v>
      </c>
      <c r="O132" s="22" t="str" cm="1">
        <f t="array" ref="O132">_xlfn.IFS(RAW[[#This Row],[Perf_Score]]&gt;=95,"0.12",RAW[[#This Row],[Perf_Score]]&gt;=85,"0.08",RAW[[#This Row],[Perf_Score]]&gt;=70,"0.05",RAW[[#This Row],[Perf_Score]]&gt;=50,"0.02",RAW[[#This Row],[Perf_Score]]&lt;=49,"0")</f>
        <v>0.08</v>
      </c>
      <c r="P132" s="8">
        <f>RAW[[#This Row],[Salary]]*RAW[[#This Row],[Eligible Bonus Amount]]</f>
        <v>8849.44</v>
      </c>
    </row>
    <row r="133" spans="1:16" x14ac:dyDescent="0.25">
      <c r="A133" s="14" t="s">
        <v>167</v>
      </c>
      <c r="B133" s="14" t="s">
        <v>280</v>
      </c>
      <c r="C133" t="s">
        <v>23</v>
      </c>
      <c r="D133" s="14" t="str">
        <f t="shared" si="8"/>
        <v>OPS06</v>
      </c>
      <c r="E133" s="14" t="str">
        <f>VLOOKUP(RAW[[#This Row],[Dept Code]],Table4[#All],2,FALSE)</f>
        <v>Operations</v>
      </c>
      <c r="F133" s="2">
        <v>44639</v>
      </c>
      <c r="G133" s="6">
        <f ca="1">DATEDIF(RAW[[#This Row],[Hire Date]], TODAY(), "Y")</f>
        <v>4</v>
      </c>
      <c r="H133" s="12">
        <v>108395</v>
      </c>
      <c r="I133" s="12" cm="1">
        <f t="array" ref="I133">IF(H133="",MEDIAN(IF(($E$2:$E$151=E133)*($H$2:$H$151&lt;&gt;""),$H$2:$H$151)),H133)</f>
        <v>108395</v>
      </c>
      <c r="J133" s="6">
        <v>78</v>
      </c>
      <c r="K133" s="14" t="str" cm="1">
        <f t="array" ref="K133">_xlfn.IFS(RAW[[#This Row],[Perf_Score]]&gt;=95,"Outstanding",RAW[[#This Row],[Perf_Score]]&gt;=85,"Exceeding",RAW[[#This Row],[Perf_Score]]&gt;=70,"Achieving",RAW[[#This Row],[Perf_Score]]&gt;=50,"Developing",RAW[[#This Row],[Perf_Score]]&lt;=49,"Needs Improvement")</f>
        <v>Achieving</v>
      </c>
      <c r="L133" s="14" t="s">
        <v>19</v>
      </c>
      <c r="M133" s="17">
        <f>IF(OR(RAW[[#This Row],[Employment Status]]="Left",RAW[[#This Row],[Employment Status]]="Resigned" ), 1, 0)</f>
        <v>1</v>
      </c>
      <c r="N133" s="17" t="str" cm="1">
        <f t="array" ref="N133">_xlfn.IFS(RAW[[#This Row],[Left/Resigned Band]]=0,"Active",RAW[[#This Row],[Left/Resigned Band]]=1,"Left")</f>
        <v>Left</v>
      </c>
      <c r="O133" s="22" t="str" cm="1">
        <f t="array" ref="O133">_xlfn.IFS(RAW[[#This Row],[Perf_Score]]&gt;=95,"0.12",RAW[[#This Row],[Perf_Score]]&gt;=85,"0.08",RAW[[#This Row],[Perf_Score]]&gt;=70,"0.05",RAW[[#This Row],[Perf_Score]]&gt;=50,"0.02",RAW[[#This Row],[Perf_Score]]&lt;=49,"0")</f>
        <v>0.05</v>
      </c>
      <c r="P133" s="8">
        <f>RAW[[#This Row],[Salary]]*RAW[[#This Row],[Eligible Bonus Amount]]</f>
        <v>5419.75</v>
      </c>
    </row>
    <row r="134" spans="1:16" x14ac:dyDescent="0.25">
      <c r="A134" s="14" t="s">
        <v>168</v>
      </c>
      <c r="B134" s="14" t="s">
        <v>226</v>
      </c>
      <c r="C134" t="s">
        <v>16</v>
      </c>
      <c r="D134" s="14" t="str">
        <f t="shared" si="8"/>
        <v>FIN03</v>
      </c>
      <c r="E134" s="14" t="str">
        <f>VLOOKUP(RAW[[#This Row],[Dept Code]],Table4[#All],2,FALSE)</f>
        <v>Finance</v>
      </c>
      <c r="F134" s="2">
        <v>43091</v>
      </c>
      <c r="G134" s="6">
        <f ca="1">DATEDIF(RAW[[#This Row],[Hire Date]], TODAY(), "Y")</f>
        <v>8</v>
      </c>
      <c r="H134" s="12">
        <v>88005</v>
      </c>
      <c r="I134" s="12" cm="1">
        <f t="array" ref="I134">IF(H134="",MEDIAN(IF(($E$2:$E$151=E134)*($H$2:$H$151&lt;&gt;""),$H$2:$H$151)),H134)</f>
        <v>88005</v>
      </c>
      <c r="J134" s="6">
        <v>69</v>
      </c>
      <c r="K134" s="14" t="str" cm="1">
        <f t="array" ref="K134">_xlfn.IFS(RAW[[#This Row],[Perf_Score]]&gt;=95,"Outstanding",RAW[[#This Row],[Perf_Score]]&gt;=85,"Exceeding",RAW[[#This Row],[Perf_Score]]&gt;=70,"Achieving",RAW[[#This Row],[Perf_Score]]&gt;=50,"Developing",RAW[[#This Row],[Perf_Score]]&lt;=49,"Needs Improvement")</f>
        <v>Developing</v>
      </c>
      <c r="L134" s="14" t="s">
        <v>29</v>
      </c>
      <c r="M134" s="17">
        <f>IF(OR(RAW[[#This Row],[Employment Status]]="Left",RAW[[#This Row],[Employment Status]]="Resigned" ), 1, 0)</f>
        <v>0</v>
      </c>
      <c r="N134" s="17" t="str" cm="1">
        <f t="array" ref="N134">_xlfn.IFS(RAW[[#This Row],[Left/Resigned Band]]=0,"Active",RAW[[#This Row],[Left/Resigned Band]]=1,"Left")</f>
        <v>Active</v>
      </c>
      <c r="O134" s="22" t="str" cm="1">
        <f t="array" ref="O134">_xlfn.IFS(RAW[[#This Row],[Perf_Score]]&gt;=95,"0.12",RAW[[#This Row],[Perf_Score]]&gt;=85,"0.08",RAW[[#This Row],[Perf_Score]]&gt;=70,"0.05",RAW[[#This Row],[Perf_Score]]&gt;=50,"0.02",RAW[[#This Row],[Perf_Score]]&lt;=49,"0")</f>
        <v>0.02</v>
      </c>
      <c r="P134" s="8">
        <f>RAW[[#This Row],[Salary]]*RAW[[#This Row],[Eligible Bonus Amount]]</f>
        <v>1760.1000000000001</v>
      </c>
    </row>
    <row r="135" spans="1:16" x14ac:dyDescent="0.25">
      <c r="A135" s="14" t="s">
        <v>169</v>
      </c>
      <c r="B135" s="14" t="s">
        <v>281</v>
      </c>
      <c r="C135" t="s">
        <v>40</v>
      </c>
      <c r="D135" s="14" t="str">
        <f t="shared" si="8"/>
        <v>MKT04</v>
      </c>
      <c r="E135" s="14" t="str">
        <f>VLOOKUP(RAW[[#This Row],[Dept Code]],Table4[#All],2,FALSE)</f>
        <v>Marketing</v>
      </c>
      <c r="F135" s="2">
        <v>44437</v>
      </c>
      <c r="G135" s="6">
        <f ca="1">DATEDIF(RAW[[#This Row],[Hire Date]], TODAY(), "Y")</f>
        <v>4</v>
      </c>
      <c r="H135" s="12">
        <v>83007</v>
      </c>
      <c r="I135" s="12" cm="1">
        <f t="array" ref="I135">IF(H135="",MEDIAN(IF(($E$2:$E$151=E135)*($H$2:$H$151&lt;&gt;""),$H$2:$H$151)),H135)</f>
        <v>83007</v>
      </c>
      <c r="J135" s="6">
        <v>82</v>
      </c>
      <c r="K135" s="14" t="str" cm="1">
        <f t="array" ref="K135">_xlfn.IFS(RAW[[#This Row],[Perf_Score]]&gt;=95,"Outstanding",RAW[[#This Row],[Perf_Score]]&gt;=85,"Exceeding",RAW[[#This Row],[Perf_Score]]&gt;=70,"Achieving",RAW[[#This Row],[Perf_Score]]&gt;=50,"Developing",RAW[[#This Row],[Perf_Score]]&lt;=49,"Needs Improvement")</f>
        <v>Achieving</v>
      </c>
      <c r="L135" s="14" t="s">
        <v>29</v>
      </c>
      <c r="M135" s="17">
        <f>IF(OR(RAW[[#This Row],[Employment Status]]="Left",RAW[[#This Row],[Employment Status]]="Resigned" ), 1, 0)</f>
        <v>0</v>
      </c>
      <c r="N135" s="17" t="str" cm="1">
        <f t="array" ref="N135">_xlfn.IFS(RAW[[#This Row],[Left/Resigned Band]]=0,"Active",RAW[[#This Row],[Left/Resigned Band]]=1,"Left")</f>
        <v>Active</v>
      </c>
      <c r="O135" s="22" t="str" cm="1">
        <f t="array" ref="O135">_xlfn.IFS(RAW[[#This Row],[Perf_Score]]&gt;=95,"0.12",RAW[[#This Row],[Perf_Score]]&gt;=85,"0.08",RAW[[#This Row],[Perf_Score]]&gt;=70,"0.05",RAW[[#This Row],[Perf_Score]]&gt;=50,"0.02",RAW[[#This Row],[Perf_Score]]&lt;=49,"0")</f>
        <v>0.05</v>
      </c>
      <c r="P135" s="8">
        <f>RAW[[#This Row],[Salary]]*RAW[[#This Row],[Eligible Bonus Amount]]</f>
        <v>4150.3500000000004</v>
      </c>
    </row>
    <row r="136" spans="1:16" x14ac:dyDescent="0.25">
      <c r="A136" s="14" t="s">
        <v>170</v>
      </c>
      <c r="B136" s="14" t="s">
        <v>282</v>
      </c>
      <c r="C136" t="s">
        <v>8</v>
      </c>
      <c r="D136" s="14" t="str">
        <f t="shared" si="8"/>
        <v>IT02</v>
      </c>
      <c r="E136" s="14" t="str">
        <f>VLOOKUP(RAW[[#This Row],[Dept Code]],Table4[#All],2,FALSE)</f>
        <v>Information Technology</v>
      </c>
      <c r="F136" s="2">
        <v>43360</v>
      </c>
      <c r="G136" s="6">
        <f ca="1">DATEDIF(RAW[[#This Row],[Hire Date]], TODAY(), "Y")</f>
        <v>7</v>
      </c>
      <c r="H136" s="12">
        <v>61547</v>
      </c>
      <c r="I136" s="12" cm="1">
        <f t="array" ref="I136">IF(H136="",MEDIAN(IF(($E$2:$E$151=E136)*($H$2:$H$151&lt;&gt;""),$H$2:$H$151)),H136)</f>
        <v>61547</v>
      </c>
      <c r="J136" s="6">
        <v>68</v>
      </c>
      <c r="K136" s="14" t="str" cm="1">
        <f t="array" ref="K136">_xlfn.IFS(RAW[[#This Row],[Perf_Score]]&gt;=95,"Outstanding",RAW[[#This Row],[Perf_Score]]&gt;=85,"Exceeding",RAW[[#This Row],[Perf_Score]]&gt;=70,"Achieving",RAW[[#This Row],[Perf_Score]]&gt;=50,"Developing",RAW[[#This Row],[Perf_Score]]&lt;=49,"Needs Improvement")</f>
        <v>Developing</v>
      </c>
      <c r="L136" s="14" t="s">
        <v>296</v>
      </c>
      <c r="M136" s="17">
        <f>IF(OR(RAW[[#This Row],[Employment Status]]="Left",RAW[[#This Row],[Employment Status]]="Resigned" ), 1, 0)</f>
        <v>0</v>
      </c>
      <c r="N136" s="17" t="str" cm="1">
        <f t="array" ref="N136">_xlfn.IFS(RAW[[#This Row],[Left/Resigned Band]]=0,"Active",RAW[[#This Row],[Left/Resigned Band]]=1,"Left")</f>
        <v>Active</v>
      </c>
      <c r="O136" s="22" t="str" cm="1">
        <f t="array" ref="O136">_xlfn.IFS(RAW[[#This Row],[Perf_Score]]&gt;=95,"0.12",RAW[[#This Row],[Perf_Score]]&gt;=85,"0.08",RAW[[#This Row],[Perf_Score]]&gt;=70,"0.05",RAW[[#This Row],[Perf_Score]]&gt;=50,"0.02",RAW[[#This Row],[Perf_Score]]&lt;=49,"0")</f>
        <v>0.02</v>
      </c>
      <c r="P136" s="8">
        <f>RAW[[#This Row],[Salary]]*RAW[[#This Row],[Eligible Bonus Amount]]</f>
        <v>1230.94</v>
      </c>
    </row>
    <row r="137" spans="1:16" x14ac:dyDescent="0.25">
      <c r="A137" t="s">
        <v>171</v>
      </c>
      <c r="B137" t="s">
        <v>283</v>
      </c>
      <c r="C137" t="s">
        <v>31</v>
      </c>
      <c r="D137" t="str">
        <f t="shared" si="8"/>
        <v>SAL05</v>
      </c>
      <c r="E137" t="str">
        <f>VLOOKUP(RAW[[#This Row],[Dept Code]],Table4[#All],2,FALSE)</f>
        <v>Sales</v>
      </c>
      <c r="F137" s="2">
        <v>44375</v>
      </c>
      <c r="G137" s="6">
        <f ca="1">DATEDIF(RAW[[#This Row],[Hire Date]], TODAY(), "Y")</f>
        <v>5</v>
      </c>
      <c r="I137" s="12" cm="1">
        <f t="array" ref="I137">IF(H137="",MEDIAN(IF(($E$2:$E$151=E137)*($H$2:$H$151&lt;&gt;""),$H$2:$H$151)),H137)</f>
        <v>81205</v>
      </c>
      <c r="J137">
        <v>52</v>
      </c>
      <c r="K137" t="str" cm="1">
        <f t="array" ref="K137">_xlfn.IFS(RAW[[#This Row],[Perf_Score]]&gt;=95,"Outstanding",RAW[[#This Row],[Perf_Score]]&gt;=85,"Exceeding",RAW[[#This Row],[Perf_Score]]&gt;=70,"Achieving",RAW[[#This Row],[Perf_Score]]&gt;=50,"Developing",RAW[[#This Row],[Perf_Score]]&lt;=49,"Needs Improvement")</f>
        <v>Developing</v>
      </c>
      <c r="L137" t="s">
        <v>29</v>
      </c>
      <c r="M137">
        <f>IF(OR(RAW[[#This Row],[Employment Status]]="Left",RAW[[#This Row],[Employment Status]]="Resigned" ), 1, 0)</f>
        <v>0</v>
      </c>
      <c r="N137" t="str" cm="1">
        <f t="array" ref="N137">_xlfn.IFS(RAW[[#This Row],[Left/Resigned Band]]=0,"Active",RAW[[#This Row],[Left/Resigned Band]]=1,"Left")</f>
        <v>Active</v>
      </c>
      <c r="O137" t="str" cm="1">
        <f t="array" ref="O137">_xlfn.IFS(RAW[[#This Row],[Perf_Score]]&gt;=95,"0.12",RAW[[#This Row],[Perf_Score]]&gt;=85,"0.08",RAW[[#This Row],[Perf_Score]]&gt;=70,"0.05",RAW[[#This Row],[Perf_Score]]&gt;=50,"0.02",RAW[[#This Row],[Perf_Score]]&lt;=49,"0")</f>
        <v>0.02</v>
      </c>
      <c r="P137" s="3">
        <f t="shared" ref="P137:P158" si="9">SUM(O:O)</f>
        <v>0</v>
      </c>
    </row>
    <row r="138" spans="1:16" x14ac:dyDescent="0.25">
      <c r="A138" s="14" t="s">
        <v>172</v>
      </c>
      <c r="B138" s="14" t="s">
        <v>284</v>
      </c>
      <c r="C138" t="s">
        <v>21</v>
      </c>
      <c r="D138" s="14" t="str">
        <f t="shared" si="8"/>
        <v>OPS06</v>
      </c>
      <c r="E138" s="14" t="str">
        <f>VLOOKUP(RAW[[#This Row],[Dept Code]],Table4[#All],2,FALSE)</f>
        <v>Operations</v>
      </c>
      <c r="F138" s="2">
        <v>43011</v>
      </c>
      <c r="G138" s="6">
        <f ca="1">DATEDIF(RAW[[#This Row],[Hire Date]], TODAY(), "Y")</f>
        <v>8</v>
      </c>
      <c r="H138" s="12">
        <v>50399</v>
      </c>
      <c r="I138" s="12" cm="1">
        <f t="array" ref="I138">IF(H138="",MEDIAN(IF(($E$2:$E$151=E138)*($H$2:$H$151&lt;&gt;""),$H$2:$H$151)),H138)</f>
        <v>50399</v>
      </c>
      <c r="J138" s="6">
        <v>92</v>
      </c>
      <c r="K138" s="14" t="str" cm="1">
        <f t="array" ref="K138">_xlfn.IFS(RAW[[#This Row],[Perf_Score]]&gt;=95,"Outstanding",RAW[[#This Row],[Perf_Score]]&gt;=85,"Exceeding",RAW[[#This Row],[Perf_Score]]&gt;=70,"Achieving",RAW[[#This Row],[Perf_Score]]&gt;=50,"Developing",RAW[[#This Row],[Perf_Score]]&lt;=49,"Needs Improvement")</f>
        <v>Exceeding</v>
      </c>
      <c r="L138" s="14" t="s">
        <v>19</v>
      </c>
      <c r="M138" s="17">
        <f>IF(OR(RAW[[#This Row],[Employment Status]]="Left",RAW[[#This Row],[Employment Status]]="Resigned" ), 1, 0)</f>
        <v>1</v>
      </c>
      <c r="N138" s="17" t="str" cm="1">
        <f t="array" ref="N138">_xlfn.IFS(RAW[[#This Row],[Left/Resigned Band]]=0,"Active",RAW[[#This Row],[Left/Resigned Band]]=1,"Left")</f>
        <v>Left</v>
      </c>
      <c r="O138" s="22" t="str" cm="1">
        <f t="array" ref="O138">_xlfn.IFS(RAW[[#This Row],[Perf_Score]]&gt;=95,"0.12",RAW[[#This Row],[Perf_Score]]&gt;=85,"0.08",RAW[[#This Row],[Perf_Score]]&gt;=70,"0.05",RAW[[#This Row],[Perf_Score]]&gt;=50,"0.02",RAW[[#This Row],[Perf_Score]]&lt;=49,"0")</f>
        <v>0.08</v>
      </c>
      <c r="P138" s="8">
        <f>RAW[[#This Row],[Salary]]*RAW[[#This Row],[Eligible Bonus Amount]]</f>
        <v>4031.92</v>
      </c>
    </row>
    <row r="139" spans="1:16" x14ac:dyDescent="0.25">
      <c r="A139" t="s">
        <v>173</v>
      </c>
      <c r="B139" t="s">
        <v>285</v>
      </c>
      <c r="C139" t="s">
        <v>16</v>
      </c>
      <c r="D139" t="str">
        <f t="shared" si="8"/>
        <v>FIN03</v>
      </c>
      <c r="E139" t="str">
        <f>VLOOKUP(RAW[[#This Row],[Dept Code]],Table4[#All],2,FALSE)</f>
        <v>Finance</v>
      </c>
      <c r="F139" s="2">
        <v>42299</v>
      </c>
      <c r="G139" s="6">
        <f ca="1">DATEDIF(RAW[[#This Row],[Hire Date]], TODAY(), "Y")</f>
        <v>10</v>
      </c>
      <c r="I139" s="12" cm="1">
        <f t="array" ref="I139">IF(H139="",MEDIAN(IF(($E$2:$E$151=E139)*($H$2:$H$151&lt;&gt;""),$H$2:$H$151)),H139)</f>
        <v>93152</v>
      </c>
      <c r="J139">
        <v>62</v>
      </c>
      <c r="K139" t="str" cm="1">
        <f t="array" ref="K139">_xlfn.IFS(RAW[[#This Row],[Perf_Score]]&gt;=95,"Outstanding",RAW[[#This Row],[Perf_Score]]&gt;=85,"Exceeding",RAW[[#This Row],[Perf_Score]]&gt;=70,"Achieving",RAW[[#This Row],[Perf_Score]]&gt;=50,"Developing",RAW[[#This Row],[Perf_Score]]&lt;=49,"Needs Improvement")</f>
        <v>Developing</v>
      </c>
      <c r="L139" t="s">
        <v>296</v>
      </c>
      <c r="M139">
        <f>IF(OR(RAW[[#This Row],[Employment Status]]="Left",RAW[[#This Row],[Employment Status]]="Resigned" ), 1, 0)</f>
        <v>0</v>
      </c>
      <c r="N139" t="str" cm="1">
        <f t="array" ref="N139">_xlfn.IFS(RAW[[#This Row],[Left/Resigned Band]]=0,"Active",RAW[[#This Row],[Left/Resigned Band]]=1,"Left")</f>
        <v>Active</v>
      </c>
      <c r="O139" t="str" cm="1">
        <f t="array" ref="O139">_xlfn.IFS(RAW[[#This Row],[Perf_Score]]&gt;=95,"0.12",RAW[[#This Row],[Perf_Score]]&gt;=85,"0.08",RAW[[#This Row],[Perf_Score]]&gt;=70,"0.05",RAW[[#This Row],[Perf_Score]]&gt;=50,"0.02",RAW[[#This Row],[Perf_Score]]&lt;=49,"0")</f>
        <v>0.02</v>
      </c>
      <c r="P139" s="3">
        <f t="shared" si="9"/>
        <v>0</v>
      </c>
    </row>
    <row r="140" spans="1:16" x14ac:dyDescent="0.25">
      <c r="A140" s="14" t="s">
        <v>174</v>
      </c>
      <c r="B140" s="14" t="s">
        <v>286</v>
      </c>
      <c r="C140" t="s">
        <v>21</v>
      </c>
      <c r="D140" s="14" t="str">
        <f t="shared" si="8"/>
        <v>OPS06</v>
      </c>
      <c r="E140" s="14" t="str">
        <f>VLOOKUP(RAW[[#This Row],[Dept Code]],Table4[#All],2,FALSE)</f>
        <v>Operations</v>
      </c>
      <c r="F140" s="2">
        <v>43257</v>
      </c>
      <c r="G140" s="6">
        <f ca="1">DATEDIF(RAW[[#This Row],[Hire Date]], TODAY(), "Y")</f>
        <v>8</v>
      </c>
      <c r="H140" s="12">
        <v>52720</v>
      </c>
      <c r="I140" s="12" cm="1">
        <f t="array" ref="I140">IF(H140="",MEDIAN(IF(($E$2:$E$151=E140)*($H$2:$H$151&lt;&gt;""),$H$2:$H$151)),H140)</f>
        <v>52720</v>
      </c>
      <c r="J140" s="6">
        <v>68</v>
      </c>
      <c r="K140" s="14" t="str" cm="1">
        <f t="array" ref="K140">_xlfn.IFS(RAW[[#This Row],[Perf_Score]]&gt;=95,"Outstanding",RAW[[#This Row],[Perf_Score]]&gt;=85,"Exceeding",RAW[[#This Row],[Perf_Score]]&gt;=70,"Achieving",RAW[[#This Row],[Perf_Score]]&gt;=50,"Developing",RAW[[#This Row],[Perf_Score]]&lt;=49,"Needs Improvement")</f>
        <v>Developing</v>
      </c>
      <c r="L140" s="14" t="s">
        <v>296</v>
      </c>
      <c r="M140" s="17">
        <f>IF(OR(RAW[[#This Row],[Employment Status]]="Left",RAW[[#This Row],[Employment Status]]="Resigned" ), 1, 0)</f>
        <v>0</v>
      </c>
      <c r="N140" s="17" t="str" cm="1">
        <f t="array" ref="N140">_xlfn.IFS(RAW[[#This Row],[Left/Resigned Band]]=0,"Active",RAW[[#This Row],[Left/Resigned Band]]=1,"Left")</f>
        <v>Active</v>
      </c>
      <c r="O140" s="22" t="str" cm="1">
        <f t="array" ref="O140">_xlfn.IFS(RAW[[#This Row],[Perf_Score]]&gt;=95,"0.12",RAW[[#This Row],[Perf_Score]]&gt;=85,"0.08",RAW[[#This Row],[Perf_Score]]&gt;=70,"0.05",RAW[[#This Row],[Perf_Score]]&gt;=50,"0.02",RAW[[#This Row],[Perf_Score]]&lt;=49,"0")</f>
        <v>0.02</v>
      </c>
      <c r="P140" s="8">
        <f>RAW[[#This Row],[Salary]]*RAW[[#This Row],[Eligible Bonus Amount]]</f>
        <v>1054.4000000000001</v>
      </c>
    </row>
    <row r="141" spans="1:16" x14ac:dyDescent="0.25">
      <c r="A141" s="14" t="s">
        <v>175</v>
      </c>
      <c r="B141" s="14" t="s">
        <v>287</v>
      </c>
      <c r="C141" t="s">
        <v>21</v>
      </c>
      <c r="D141" s="14" t="str">
        <f t="shared" si="8"/>
        <v>OPS06</v>
      </c>
      <c r="E141" s="14" t="str">
        <f>VLOOKUP(RAW[[#This Row],[Dept Code]],Table4[#All],2,FALSE)</f>
        <v>Operations</v>
      </c>
      <c r="F141" s="2">
        <v>42932</v>
      </c>
      <c r="G141" s="6">
        <f ca="1">DATEDIF(RAW[[#This Row],[Hire Date]], TODAY(), "Y")</f>
        <v>8</v>
      </c>
      <c r="H141" s="12">
        <v>65065</v>
      </c>
      <c r="I141" s="12" cm="1">
        <f t="array" ref="I141">IF(H141="",MEDIAN(IF(($E$2:$E$151=E141)*($H$2:$H$151&lt;&gt;""),$H$2:$H$151)),H141)</f>
        <v>65065</v>
      </c>
      <c r="J141" s="6">
        <v>98</v>
      </c>
      <c r="K141" s="14" t="str" cm="1">
        <f t="array" ref="K141">_xlfn.IFS(RAW[[#This Row],[Perf_Score]]&gt;=95,"Outstanding",RAW[[#This Row],[Perf_Score]]&gt;=85,"Exceeding",RAW[[#This Row],[Perf_Score]]&gt;=70,"Achieving",RAW[[#This Row],[Perf_Score]]&gt;=50,"Developing",RAW[[#This Row],[Perf_Score]]&lt;=49,"Needs Improvement")</f>
        <v>Outstanding</v>
      </c>
      <c r="L141" s="14" t="s">
        <v>29</v>
      </c>
      <c r="M141" s="17">
        <f>IF(OR(RAW[[#This Row],[Employment Status]]="Left",RAW[[#This Row],[Employment Status]]="Resigned" ), 1, 0)</f>
        <v>0</v>
      </c>
      <c r="N141" s="17" t="str" cm="1">
        <f t="array" ref="N141">_xlfn.IFS(RAW[[#This Row],[Left/Resigned Band]]=0,"Active",RAW[[#This Row],[Left/Resigned Band]]=1,"Left")</f>
        <v>Active</v>
      </c>
      <c r="O141" s="22" t="str" cm="1">
        <f t="array" ref="O141">_xlfn.IFS(RAW[[#This Row],[Perf_Score]]&gt;=95,"0.12",RAW[[#This Row],[Perf_Score]]&gt;=85,"0.08",RAW[[#This Row],[Perf_Score]]&gt;=70,"0.05",RAW[[#This Row],[Perf_Score]]&gt;=50,"0.02",RAW[[#This Row],[Perf_Score]]&lt;=49,"0")</f>
        <v>0.12</v>
      </c>
      <c r="P141" s="8">
        <f>RAW[[#This Row],[Salary]]*RAW[[#This Row],[Eligible Bonus Amount]]</f>
        <v>7807.7999999999993</v>
      </c>
    </row>
    <row r="142" spans="1:16" x14ac:dyDescent="0.25">
      <c r="A142" t="s">
        <v>176</v>
      </c>
      <c r="B142" t="s">
        <v>280</v>
      </c>
      <c r="C142" t="s">
        <v>28</v>
      </c>
      <c r="D142" t="str">
        <f t="shared" si="8"/>
        <v>SAL05</v>
      </c>
      <c r="E142" t="str">
        <f>VLOOKUP(RAW[[#This Row],[Dept Code]],Table4[#All],2,FALSE)</f>
        <v>Sales</v>
      </c>
      <c r="F142" s="2">
        <v>42175</v>
      </c>
      <c r="G142" s="6">
        <f ca="1">DATEDIF(RAW[[#This Row],[Hire Date]], TODAY(), "Y")</f>
        <v>11</v>
      </c>
      <c r="I142" s="12" cm="1">
        <f t="array" ref="I142">IF(H142="",MEDIAN(IF(($E$2:$E$151=E142)*($H$2:$H$151&lt;&gt;""),$H$2:$H$151)),H142)</f>
        <v>81205</v>
      </c>
      <c r="J142">
        <v>94</v>
      </c>
      <c r="K142" t="str" cm="1">
        <f t="array" ref="K142">_xlfn.IFS(RAW[[#This Row],[Perf_Score]]&gt;=95,"Outstanding",RAW[[#This Row],[Perf_Score]]&gt;=85,"Exceeding",RAW[[#This Row],[Perf_Score]]&gt;=70,"Achieving",RAW[[#This Row],[Perf_Score]]&gt;=50,"Developing",RAW[[#This Row],[Perf_Score]]&lt;=49,"Needs Improvement")</f>
        <v>Exceeding</v>
      </c>
      <c r="L142" t="s">
        <v>75</v>
      </c>
      <c r="M142">
        <f>IF(OR(RAW[[#This Row],[Employment Status]]="Left",RAW[[#This Row],[Employment Status]]="Resigned" ), 1, 0)</f>
        <v>1</v>
      </c>
      <c r="N142" t="str" cm="1">
        <f t="array" ref="N142">_xlfn.IFS(RAW[[#This Row],[Left/Resigned Band]]=0,"Active",RAW[[#This Row],[Left/Resigned Band]]=1,"Left")</f>
        <v>Left</v>
      </c>
      <c r="O142" t="str" cm="1">
        <f t="array" ref="O142">_xlfn.IFS(RAW[[#This Row],[Perf_Score]]&gt;=95,"0.12",RAW[[#This Row],[Perf_Score]]&gt;=85,"0.08",RAW[[#This Row],[Perf_Score]]&gt;=70,"0.05",RAW[[#This Row],[Perf_Score]]&gt;=50,"0.02",RAW[[#This Row],[Perf_Score]]&lt;=49,"0")</f>
        <v>0.08</v>
      </c>
      <c r="P142" s="3">
        <f t="shared" si="9"/>
        <v>0</v>
      </c>
    </row>
    <row r="143" spans="1:16" x14ac:dyDescent="0.25">
      <c r="A143" s="14" t="s">
        <v>177</v>
      </c>
      <c r="B143" s="14" t="s">
        <v>280</v>
      </c>
      <c r="C143" t="s">
        <v>23</v>
      </c>
      <c r="D143" s="14" t="str">
        <f t="shared" si="8"/>
        <v>OPS06</v>
      </c>
      <c r="E143" s="14" t="str">
        <f>VLOOKUP(RAW[[#This Row],[Dept Code]],Table4[#All],2,FALSE)</f>
        <v>Operations</v>
      </c>
      <c r="F143" s="2">
        <v>43609</v>
      </c>
      <c r="G143" s="6">
        <f ca="1">DATEDIF(RAW[[#This Row],[Hire Date]], TODAY(), "Y")</f>
        <v>7</v>
      </c>
      <c r="H143" s="12">
        <v>108119</v>
      </c>
      <c r="I143" s="12" cm="1">
        <f t="array" ref="I143">IF(H143="",MEDIAN(IF(($E$2:$E$151=E143)*($H$2:$H$151&lt;&gt;""),$H$2:$H$151)),H143)</f>
        <v>108119</v>
      </c>
      <c r="J143" s="6">
        <v>57</v>
      </c>
      <c r="K143" s="14" t="str" cm="1">
        <f t="array" ref="K143">_xlfn.IFS(RAW[[#This Row],[Perf_Score]]&gt;=95,"Outstanding",RAW[[#This Row],[Perf_Score]]&gt;=85,"Exceeding",RAW[[#This Row],[Perf_Score]]&gt;=70,"Achieving",RAW[[#This Row],[Perf_Score]]&gt;=50,"Developing",RAW[[#This Row],[Perf_Score]]&lt;=49,"Needs Improvement")</f>
        <v>Developing</v>
      </c>
      <c r="L143" s="14" t="s">
        <v>75</v>
      </c>
      <c r="M143" s="17">
        <f>IF(OR(RAW[[#This Row],[Employment Status]]="Left",RAW[[#This Row],[Employment Status]]="Resigned" ), 1, 0)</f>
        <v>1</v>
      </c>
      <c r="N143" s="17" t="str" cm="1">
        <f t="array" ref="N143">_xlfn.IFS(RAW[[#This Row],[Left/Resigned Band]]=0,"Active",RAW[[#This Row],[Left/Resigned Band]]=1,"Left")</f>
        <v>Left</v>
      </c>
      <c r="O143" s="22" t="str" cm="1">
        <f t="array" ref="O143">_xlfn.IFS(RAW[[#This Row],[Perf_Score]]&gt;=95,"0.12",RAW[[#This Row],[Perf_Score]]&gt;=85,"0.08",RAW[[#This Row],[Perf_Score]]&gt;=70,"0.05",RAW[[#This Row],[Perf_Score]]&gt;=50,"0.02",RAW[[#This Row],[Perf_Score]]&lt;=49,"0")</f>
        <v>0.02</v>
      </c>
      <c r="P143" s="8">
        <f>RAW[[#This Row],[Salary]]*RAW[[#This Row],[Eligible Bonus Amount]]</f>
        <v>2162.38</v>
      </c>
    </row>
    <row r="144" spans="1:16" x14ac:dyDescent="0.25">
      <c r="A144" t="s">
        <v>178</v>
      </c>
      <c r="B144" t="s">
        <v>228</v>
      </c>
      <c r="C144" t="s">
        <v>56</v>
      </c>
      <c r="D144" t="str">
        <f t="shared" si="8"/>
        <v>IT02</v>
      </c>
      <c r="E144" t="str">
        <f>VLOOKUP(RAW[[#This Row],[Dept Code]],Table4[#All],2,FALSE)</f>
        <v>Information Technology</v>
      </c>
      <c r="F144" s="2">
        <v>43887</v>
      </c>
      <c r="G144" s="6">
        <f ca="1">DATEDIF(RAW[[#This Row],[Hire Date]], TODAY(), "Y")</f>
        <v>6</v>
      </c>
      <c r="I144" s="12" cm="1">
        <f t="array" ref="I144">IF(H144="",MEDIAN(IF(($E$2:$E$151=E144)*($H$2:$H$151&lt;&gt;""),$H$2:$H$151)),H144)</f>
        <v>77819</v>
      </c>
      <c r="J144">
        <v>96</v>
      </c>
      <c r="K144" t="str" cm="1">
        <f t="array" ref="K144">_xlfn.IFS(RAW[[#This Row],[Perf_Score]]&gt;=95,"Outstanding",RAW[[#This Row],[Perf_Score]]&gt;=85,"Exceeding",RAW[[#This Row],[Perf_Score]]&gt;=70,"Achieving",RAW[[#This Row],[Perf_Score]]&gt;=50,"Developing",RAW[[#This Row],[Perf_Score]]&lt;=49,"Needs Improvement")</f>
        <v>Outstanding</v>
      </c>
      <c r="L144" t="s">
        <v>29</v>
      </c>
      <c r="M144">
        <f>IF(OR(RAW[[#This Row],[Employment Status]]="Left",RAW[[#This Row],[Employment Status]]="Resigned" ), 1, 0)</f>
        <v>0</v>
      </c>
      <c r="N144" t="str" cm="1">
        <f t="array" ref="N144">_xlfn.IFS(RAW[[#This Row],[Left/Resigned Band]]=0,"Active",RAW[[#This Row],[Left/Resigned Band]]=1,"Left")</f>
        <v>Active</v>
      </c>
      <c r="O144" t="str" cm="1">
        <f t="array" ref="O144">_xlfn.IFS(RAW[[#This Row],[Perf_Score]]&gt;=95,"0.12",RAW[[#This Row],[Perf_Score]]&gt;=85,"0.08",RAW[[#This Row],[Perf_Score]]&gt;=70,"0.05",RAW[[#This Row],[Perf_Score]]&gt;=50,"0.02",RAW[[#This Row],[Perf_Score]]&lt;=49,"0")</f>
        <v>0.12</v>
      </c>
      <c r="P144" s="3">
        <f t="shared" si="9"/>
        <v>0</v>
      </c>
    </row>
    <row r="145" spans="1:16" x14ac:dyDescent="0.25">
      <c r="A145" s="14" t="s">
        <v>179</v>
      </c>
      <c r="B145" s="14" t="s">
        <v>231</v>
      </c>
      <c r="C145" t="s">
        <v>64</v>
      </c>
      <c r="D145" s="14" t="str">
        <f t="shared" si="8"/>
        <v>HR01</v>
      </c>
      <c r="E145" s="14" t="str">
        <f>VLOOKUP(RAW[[#This Row],[Dept Code]],Table4[#All],2,FALSE)</f>
        <v>Human Resources</v>
      </c>
      <c r="F145" s="2">
        <v>44991</v>
      </c>
      <c r="G145" s="6">
        <f ca="1">DATEDIF(RAW[[#This Row],[Hire Date]], TODAY(), "Y")</f>
        <v>3</v>
      </c>
      <c r="H145" s="12">
        <v>106896</v>
      </c>
      <c r="I145" s="12" cm="1">
        <f t="array" ref="I145">IF(H145="",MEDIAN(IF(($E$2:$E$151=E145)*($H$2:$H$151&lt;&gt;""),$H$2:$H$151)),H145)</f>
        <v>106896</v>
      </c>
      <c r="J145" s="6">
        <v>52</v>
      </c>
      <c r="K145" s="14" t="str" cm="1">
        <f t="array" ref="K145">_xlfn.IFS(RAW[[#This Row],[Perf_Score]]&gt;=95,"Outstanding",RAW[[#This Row],[Perf_Score]]&gt;=85,"Exceeding",RAW[[#This Row],[Perf_Score]]&gt;=70,"Achieving",RAW[[#This Row],[Perf_Score]]&gt;=50,"Developing",RAW[[#This Row],[Perf_Score]]&lt;=49,"Needs Improvement")</f>
        <v>Developing</v>
      </c>
      <c r="L145" s="14" t="s">
        <v>19</v>
      </c>
      <c r="M145" s="17">
        <f>IF(OR(RAW[[#This Row],[Employment Status]]="Left",RAW[[#This Row],[Employment Status]]="Resigned" ), 1, 0)</f>
        <v>1</v>
      </c>
      <c r="N145" s="17" t="str" cm="1">
        <f t="array" ref="N145">_xlfn.IFS(RAW[[#This Row],[Left/Resigned Band]]=0,"Active",RAW[[#This Row],[Left/Resigned Band]]=1,"Left")</f>
        <v>Left</v>
      </c>
      <c r="O145" s="22" t="str" cm="1">
        <f t="array" ref="O145">_xlfn.IFS(RAW[[#This Row],[Perf_Score]]&gt;=95,"0.12",RAW[[#This Row],[Perf_Score]]&gt;=85,"0.08",RAW[[#This Row],[Perf_Score]]&gt;=70,"0.05",RAW[[#This Row],[Perf_Score]]&gt;=50,"0.02",RAW[[#This Row],[Perf_Score]]&lt;=49,"0")</f>
        <v>0.02</v>
      </c>
      <c r="P145" s="8">
        <f>RAW[[#This Row],[Salary]]*RAW[[#This Row],[Eligible Bonus Amount]]</f>
        <v>2137.92</v>
      </c>
    </row>
    <row r="146" spans="1:16" x14ac:dyDescent="0.25">
      <c r="A146" s="14" t="s">
        <v>180</v>
      </c>
      <c r="B146" s="14" t="s">
        <v>39</v>
      </c>
      <c r="C146" t="s">
        <v>14</v>
      </c>
      <c r="D146" s="14" t="str">
        <f t="shared" si="8"/>
        <v>IT02</v>
      </c>
      <c r="E146" s="14" t="str">
        <f>VLOOKUP(RAW[[#This Row],[Dept Code]],Table4[#All],2,FALSE)</f>
        <v>Information Technology</v>
      </c>
      <c r="F146" s="2">
        <v>43477</v>
      </c>
      <c r="G146" s="6">
        <f ca="1">DATEDIF(RAW[[#This Row],[Hire Date]], TODAY(), "Y")</f>
        <v>7</v>
      </c>
      <c r="H146" s="12">
        <v>112887</v>
      </c>
      <c r="I146" s="12" cm="1">
        <f t="array" ref="I146">IF(H146="",MEDIAN(IF(($E$2:$E$151=E146)*($H$2:$H$151&lt;&gt;""),$H$2:$H$151)),H146)</f>
        <v>112887</v>
      </c>
      <c r="J146" s="6">
        <v>59</v>
      </c>
      <c r="K146" s="14" t="str" cm="1">
        <f t="array" ref="K146">_xlfn.IFS(RAW[[#This Row],[Perf_Score]]&gt;=95,"Outstanding",RAW[[#This Row],[Perf_Score]]&gt;=85,"Exceeding",RAW[[#This Row],[Perf_Score]]&gt;=70,"Achieving",RAW[[#This Row],[Perf_Score]]&gt;=50,"Developing",RAW[[#This Row],[Perf_Score]]&lt;=49,"Needs Improvement")</f>
        <v>Developing</v>
      </c>
      <c r="L146" s="14" t="s">
        <v>29</v>
      </c>
      <c r="M146" s="17">
        <f>IF(OR(RAW[[#This Row],[Employment Status]]="Left",RAW[[#This Row],[Employment Status]]="Resigned" ), 1, 0)</f>
        <v>0</v>
      </c>
      <c r="N146" s="17" t="str" cm="1">
        <f t="array" ref="N146">_xlfn.IFS(RAW[[#This Row],[Left/Resigned Band]]=0,"Active",RAW[[#This Row],[Left/Resigned Band]]=1,"Left")</f>
        <v>Active</v>
      </c>
      <c r="O146" s="22" t="str" cm="1">
        <f t="array" ref="O146">_xlfn.IFS(RAW[[#This Row],[Perf_Score]]&gt;=95,"0.12",RAW[[#This Row],[Perf_Score]]&gt;=85,"0.08",RAW[[#This Row],[Perf_Score]]&gt;=70,"0.05",RAW[[#This Row],[Perf_Score]]&gt;=50,"0.02",RAW[[#This Row],[Perf_Score]]&lt;=49,"0")</f>
        <v>0.02</v>
      </c>
      <c r="P146" s="8">
        <f>RAW[[#This Row],[Salary]]*RAW[[#This Row],[Eligible Bonus Amount]]</f>
        <v>2257.7400000000002</v>
      </c>
    </row>
    <row r="147" spans="1:16" x14ac:dyDescent="0.25">
      <c r="A147" s="14" t="s">
        <v>181</v>
      </c>
      <c r="B147" s="14" t="s">
        <v>288</v>
      </c>
      <c r="C147" t="s">
        <v>16</v>
      </c>
      <c r="D147" s="14" t="str">
        <f t="shared" si="8"/>
        <v>FIN03</v>
      </c>
      <c r="E147" s="14" t="str">
        <f>VLOOKUP(RAW[[#This Row],[Dept Code]],Table4[#All],2,FALSE)</f>
        <v>Finance</v>
      </c>
      <c r="F147" s="2">
        <v>45037</v>
      </c>
      <c r="G147" s="6">
        <f ca="1">DATEDIF(RAW[[#This Row],[Hire Date]], TODAY(), "Y")</f>
        <v>3</v>
      </c>
      <c r="H147" s="12">
        <v>85457</v>
      </c>
      <c r="I147" s="12" cm="1">
        <f t="array" ref="I147">IF(H147="",MEDIAN(IF(($E$2:$E$151=E147)*($H$2:$H$151&lt;&gt;""),$H$2:$H$151)),H147)</f>
        <v>85457</v>
      </c>
      <c r="J147" s="6">
        <v>79</v>
      </c>
      <c r="K147" s="14" t="str" cm="1">
        <f t="array" ref="K147">_xlfn.IFS(RAW[[#This Row],[Perf_Score]]&gt;=95,"Outstanding",RAW[[#This Row],[Perf_Score]]&gt;=85,"Exceeding",RAW[[#This Row],[Perf_Score]]&gt;=70,"Achieving",RAW[[#This Row],[Perf_Score]]&gt;=50,"Developing",RAW[[#This Row],[Perf_Score]]&lt;=49,"Needs Improvement")</f>
        <v>Achieving</v>
      </c>
      <c r="L147" s="14" t="s">
        <v>296</v>
      </c>
      <c r="M147" s="17">
        <f>IF(OR(RAW[[#This Row],[Employment Status]]="Left",RAW[[#This Row],[Employment Status]]="Resigned" ), 1, 0)</f>
        <v>0</v>
      </c>
      <c r="N147" s="17" t="str" cm="1">
        <f t="array" ref="N147">_xlfn.IFS(RAW[[#This Row],[Left/Resigned Band]]=0,"Active",RAW[[#This Row],[Left/Resigned Band]]=1,"Left")</f>
        <v>Active</v>
      </c>
      <c r="O147" s="22" t="str" cm="1">
        <f t="array" ref="O147">_xlfn.IFS(RAW[[#This Row],[Perf_Score]]&gt;=95,"0.12",RAW[[#This Row],[Perf_Score]]&gt;=85,"0.08",RAW[[#This Row],[Perf_Score]]&gt;=70,"0.05",RAW[[#This Row],[Perf_Score]]&gt;=50,"0.02",RAW[[#This Row],[Perf_Score]]&lt;=49,"0")</f>
        <v>0.05</v>
      </c>
      <c r="P147" s="8">
        <f>RAW[[#This Row],[Salary]]*RAW[[#This Row],[Eligible Bonus Amount]]</f>
        <v>4272.8500000000004</v>
      </c>
    </row>
    <row r="148" spans="1:16" x14ac:dyDescent="0.25">
      <c r="A148" s="14" t="s">
        <v>182</v>
      </c>
      <c r="B148" s="14" t="s">
        <v>289</v>
      </c>
      <c r="C148" t="s">
        <v>31</v>
      </c>
      <c r="D148" s="14" t="str">
        <f t="shared" si="8"/>
        <v>SAL05</v>
      </c>
      <c r="E148" s="14" t="str">
        <f>VLOOKUP(RAW[[#This Row],[Dept Code]],Table4[#All],2,FALSE)</f>
        <v>Sales</v>
      </c>
      <c r="F148" s="2">
        <v>42519</v>
      </c>
      <c r="G148" s="6">
        <f ca="1">DATEDIF(RAW[[#This Row],[Hire Date]], TODAY(), "Y")</f>
        <v>10</v>
      </c>
      <c r="H148" s="12">
        <v>62798</v>
      </c>
      <c r="I148" s="12" cm="1">
        <f t="array" ref="I148">IF(H148="",MEDIAN(IF(($E$2:$E$151=E148)*($H$2:$H$151&lt;&gt;""),$H$2:$H$151)),H148)</f>
        <v>62798</v>
      </c>
      <c r="J148" s="6">
        <v>30</v>
      </c>
      <c r="K148" s="14" t="str" cm="1">
        <f t="array" ref="K148">_xlfn.IFS(RAW[[#This Row],[Perf_Score]]&gt;=95,"Outstanding",RAW[[#This Row],[Perf_Score]]&gt;=85,"Exceeding",RAW[[#This Row],[Perf_Score]]&gt;=70,"Achieving",RAW[[#This Row],[Perf_Score]]&gt;=50,"Developing",RAW[[#This Row],[Perf_Score]]&lt;=49,"Needs Improvement")</f>
        <v>Needs Improvement</v>
      </c>
      <c r="L148" s="14" t="s">
        <v>296</v>
      </c>
      <c r="M148" s="17">
        <f>IF(OR(RAW[[#This Row],[Employment Status]]="Left",RAW[[#This Row],[Employment Status]]="Resigned" ), 1, 0)</f>
        <v>0</v>
      </c>
      <c r="N148" s="17" t="str" cm="1">
        <f t="array" ref="N148">_xlfn.IFS(RAW[[#This Row],[Left/Resigned Band]]=0,"Active",RAW[[#This Row],[Left/Resigned Band]]=1,"Left")</f>
        <v>Active</v>
      </c>
      <c r="O148" s="22" t="str" cm="1">
        <f t="array" ref="O148">_xlfn.IFS(RAW[[#This Row],[Perf_Score]]&gt;=95,"0.12",RAW[[#This Row],[Perf_Score]]&gt;=85,"0.08",RAW[[#This Row],[Perf_Score]]&gt;=70,"0.05",RAW[[#This Row],[Perf_Score]]&gt;=50,"0.02",RAW[[#This Row],[Perf_Score]]&lt;=49,"0")</f>
        <v>0</v>
      </c>
      <c r="P148" s="8">
        <f>RAW[[#This Row],[Salary]]*RAW[[#This Row],[Eligible Bonus Amount]]</f>
        <v>0</v>
      </c>
    </row>
    <row r="149" spans="1:16" x14ac:dyDescent="0.25">
      <c r="A149" s="14" t="s">
        <v>183</v>
      </c>
      <c r="B149" s="14" t="s">
        <v>290</v>
      </c>
      <c r="C149" t="s">
        <v>21</v>
      </c>
      <c r="D149" s="14" t="str">
        <f t="shared" si="8"/>
        <v>OPS06</v>
      </c>
      <c r="E149" s="14" t="str">
        <f>VLOOKUP(RAW[[#This Row],[Dept Code]],Table4[#All],2,FALSE)</f>
        <v>Operations</v>
      </c>
      <c r="F149" s="2">
        <v>44711</v>
      </c>
      <c r="G149" s="6">
        <f ca="1">DATEDIF(RAW[[#This Row],[Hire Date]], TODAY(), "Y")</f>
        <v>4</v>
      </c>
      <c r="H149" s="12">
        <v>47794</v>
      </c>
      <c r="I149" s="12" cm="1">
        <f t="array" ref="I149">IF(H149="",MEDIAN(IF(($E$2:$E$151=E149)*($H$2:$H$151&lt;&gt;""),$H$2:$H$151)),H149)</f>
        <v>47794</v>
      </c>
      <c r="J149" s="6">
        <v>73</v>
      </c>
      <c r="K149" s="14" t="str" cm="1">
        <f t="array" ref="K149">_xlfn.IFS(RAW[[#This Row],[Perf_Score]]&gt;=95,"Outstanding",RAW[[#This Row],[Perf_Score]]&gt;=85,"Exceeding",RAW[[#This Row],[Perf_Score]]&gt;=70,"Achieving",RAW[[#This Row],[Perf_Score]]&gt;=50,"Developing",RAW[[#This Row],[Perf_Score]]&lt;=49,"Needs Improvement")</f>
        <v>Achieving</v>
      </c>
      <c r="L149" s="14" t="s">
        <v>19</v>
      </c>
      <c r="M149" s="17">
        <f>IF(OR(RAW[[#This Row],[Employment Status]]="Left",RAW[[#This Row],[Employment Status]]="Resigned" ), 1, 0)</f>
        <v>1</v>
      </c>
      <c r="N149" s="17" t="str" cm="1">
        <f t="array" ref="N149">_xlfn.IFS(RAW[[#This Row],[Left/Resigned Band]]=0,"Active",RAW[[#This Row],[Left/Resigned Band]]=1,"Left")</f>
        <v>Left</v>
      </c>
      <c r="O149" s="22" t="str" cm="1">
        <f t="array" ref="O149">_xlfn.IFS(RAW[[#This Row],[Perf_Score]]&gt;=95,"0.12",RAW[[#This Row],[Perf_Score]]&gt;=85,"0.08",RAW[[#This Row],[Perf_Score]]&gt;=70,"0.05",RAW[[#This Row],[Perf_Score]]&gt;=50,"0.02",RAW[[#This Row],[Perf_Score]]&lt;=49,"0")</f>
        <v>0.05</v>
      </c>
      <c r="P149" s="8">
        <f>RAW[[#This Row],[Salary]]*RAW[[#This Row],[Eligible Bonus Amount]]</f>
        <v>2389.7000000000003</v>
      </c>
    </row>
    <row r="150" spans="1:16" x14ac:dyDescent="0.25">
      <c r="A150" s="14" t="s">
        <v>184</v>
      </c>
      <c r="B150" s="14" t="s">
        <v>272</v>
      </c>
      <c r="C150" t="s">
        <v>11</v>
      </c>
      <c r="D150" s="14" t="str">
        <f t="shared" si="8"/>
        <v>MKT04</v>
      </c>
      <c r="E150" s="14" t="str">
        <f>VLOOKUP(RAW[[#This Row],[Dept Code]],Table4[#All],2,FALSE)</f>
        <v>Marketing</v>
      </c>
      <c r="F150" s="2">
        <v>42677</v>
      </c>
      <c r="G150" s="6">
        <f ca="1">DATEDIF(RAW[[#This Row],[Hire Date]], TODAY(), "Y")</f>
        <v>9</v>
      </c>
      <c r="H150" s="12">
        <v>93094</v>
      </c>
      <c r="I150" s="12" cm="1">
        <f t="array" ref="I150">IF(H150="",MEDIAN(IF(($E$2:$E$151=E150)*($H$2:$H$151&lt;&gt;""),$H$2:$H$151)),H150)</f>
        <v>93094</v>
      </c>
      <c r="J150" s="6">
        <v>74</v>
      </c>
      <c r="K150" s="14" t="str" cm="1">
        <f t="array" ref="K150">_xlfn.IFS(RAW[[#This Row],[Perf_Score]]&gt;=95,"Outstanding",RAW[[#This Row],[Perf_Score]]&gt;=85,"Exceeding",RAW[[#This Row],[Perf_Score]]&gt;=70,"Achieving",RAW[[#This Row],[Perf_Score]]&gt;=50,"Developing",RAW[[#This Row],[Perf_Score]]&lt;=49,"Needs Improvement")</f>
        <v>Achieving</v>
      </c>
      <c r="L150" s="14" t="s">
        <v>29</v>
      </c>
      <c r="M150" s="17">
        <f>IF(OR(RAW[[#This Row],[Employment Status]]="Left",RAW[[#This Row],[Employment Status]]="Resigned" ), 1, 0)</f>
        <v>0</v>
      </c>
      <c r="N150" s="17" t="str" cm="1">
        <f t="array" ref="N150">_xlfn.IFS(RAW[[#This Row],[Left/Resigned Band]]=0,"Active",RAW[[#This Row],[Left/Resigned Band]]=1,"Left")</f>
        <v>Active</v>
      </c>
      <c r="O150" s="22" t="str" cm="1">
        <f t="array" ref="O150">_xlfn.IFS(RAW[[#This Row],[Perf_Score]]&gt;=95,"0.12",RAW[[#This Row],[Perf_Score]]&gt;=85,"0.08",RAW[[#This Row],[Perf_Score]]&gt;=70,"0.05",RAW[[#This Row],[Perf_Score]]&gt;=50,"0.02",RAW[[#This Row],[Perf_Score]]&lt;=49,"0")</f>
        <v>0.05</v>
      </c>
      <c r="P150" s="8">
        <f>RAW[[#This Row],[Salary]]*RAW[[#This Row],[Eligible Bonus Amount]]</f>
        <v>4654.7</v>
      </c>
    </row>
    <row r="151" spans="1:16" x14ac:dyDescent="0.25">
      <c r="A151" s="14" t="s">
        <v>185</v>
      </c>
      <c r="B151" s="14" t="s">
        <v>269</v>
      </c>
      <c r="C151" t="s">
        <v>8</v>
      </c>
      <c r="D151" s="14" t="str">
        <f t="shared" si="8"/>
        <v>IT02</v>
      </c>
      <c r="E151" s="14" t="str">
        <f>VLOOKUP(RAW[[#This Row],[Dept Code]],Table4[#All],2,FALSE)</f>
        <v>Information Technology</v>
      </c>
      <c r="F151" s="2">
        <v>44848</v>
      </c>
      <c r="G151" s="6">
        <f ca="1">DATEDIF(RAW[[#This Row],[Hire Date]], TODAY(), "Y")</f>
        <v>3</v>
      </c>
      <c r="H151" s="12">
        <v>118634</v>
      </c>
      <c r="I151" s="12" cm="1">
        <f t="array" ref="I151">IF(H151="",MEDIAN(IF(($E$2:$E$151=E151)*($H$2:$H$151&lt;&gt;""),$H$2:$H$151)),H151)</f>
        <v>118634</v>
      </c>
      <c r="J151" s="6">
        <v>91</v>
      </c>
      <c r="K151" s="14" t="str" cm="1">
        <f t="array" ref="K151">_xlfn.IFS(RAW[[#This Row],[Perf_Score]]&gt;=95,"Outstanding",RAW[[#This Row],[Perf_Score]]&gt;=85,"Exceeding",RAW[[#This Row],[Perf_Score]]&gt;=70,"Achieving",RAW[[#This Row],[Perf_Score]]&gt;=50,"Developing",RAW[[#This Row],[Perf_Score]]&lt;=49,"Needs Improvement")</f>
        <v>Exceeding</v>
      </c>
      <c r="L151" s="14" t="s">
        <v>296</v>
      </c>
      <c r="M151" s="17">
        <f>IF(OR(RAW[[#This Row],[Employment Status]]="Left",RAW[[#This Row],[Employment Status]]="Resigned" ), 1, 0)</f>
        <v>0</v>
      </c>
      <c r="N151" s="17" t="str" cm="1">
        <f t="array" ref="N151">_xlfn.IFS(RAW[[#This Row],[Left/Resigned Band]]=0,"Active",RAW[[#This Row],[Left/Resigned Band]]=1,"Left")</f>
        <v>Active</v>
      </c>
      <c r="O151" s="22" t="str" cm="1">
        <f t="array" ref="O151">_xlfn.IFS(RAW[[#This Row],[Perf_Score]]&gt;=95,"0.12",RAW[[#This Row],[Perf_Score]]&gt;=85,"0.08",RAW[[#This Row],[Perf_Score]]&gt;=70,"0.05",RAW[[#This Row],[Perf_Score]]&gt;=50,"0.02",RAW[[#This Row],[Perf_Score]]&lt;=49,"0")</f>
        <v>0.08</v>
      </c>
      <c r="P151" s="8">
        <f>RAW[[#This Row],[Salary]]*RAW[[#This Row],[Eligible Bonus Amount]]</f>
        <v>9490.7199999999993</v>
      </c>
    </row>
    <row r="152" spans="1:16" hidden="1" x14ac:dyDescent="0.25">
      <c r="A152"/>
      <c r="B152"/>
      <c r="D152" t="str">
        <f t="shared" ref="D152:D158" si="10">UPPER(TRIM(C152))</f>
        <v/>
      </c>
      <c r="E152" t="e">
        <f>VLOOKUP(RAW[[#This Row],[Dept Code]],Table4[#All],2,FALSE)</f>
        <v>#N/A</v>
      </c>
      <c r="G152" s="6">
        <f ca="1">DATEDIF(RAW[[#This Row],[Hire Date]], TODAY(), "Y")</f>
        <v>126</v>
      </c>
      <c r="I152" s="12" t="e" cm="1">
        <f t="array" ref="I152">IF(H152="",MEDIAN(IF(($E$2:$E$151=E152)*($H$2:$H$151&lt;&gt;""),$H$2:$H$151)),H152)</f>
        <v>#N/A</v>
      </c>
      <c r="J152"/>
      <c r="K152" t="str" cm="1">
        <f t="array" ref="K152">_xlfn.IFS(RAW[[#This Row],[Perf_Score]]&gt;=95,"Outstanding",RAW[[#This Row],[Perf_Score]]&gt;=85,"Exceeding",RAW[[#This Row],[Perf_Score]]&gt;=70,"Achieving",RAW[[#This Row],[Perf_Score]]&gt;=50,"Developing",RAW[[#This Row],[Perf_Score]]&lt;=49,"Needs Improvement")</f>
        <v>Needs Improvement</v>
      </c>
      <c r="L152"/>
      <c r="M152">
        <f>IF(OR(RAW[[#This Row],[Employment Status]]="Left",RAW[[#This Row],[Employment Status]]="Resigned" ), 1, 0)</f>
        <v>0</v>
      </c>
      <c r="N152" t="str" cm="1">
        <f t="array" ref="N152">_xlfn.IFS(RAW[[#This Row],[Left/Resigned Band]]=0,"Active",RAW[[#This Row],[Left/Resigned Band]]=1,"Left")</f>
        <v>Active</v>
      </c>
      <c r="O152" t="str" cm="1">
        <f t="array" ref="O152">_xlfn.IFS(RAW[[#This Row],[Perf_Score]]&gt;=95,"0.12",RAW[[#This Row],[Perf_Score]]&gt;=85,"0.08",RAW[[#This Row],[Perf_Score]]&gt;=70,"0.05",RAW[[#This Row],[Perf_Score]]&gt;=50,"0.02",RAW[[#This Row],[Perf_Score]]&lt;=49,"0")</f>
        <v>0</v>
      </c>
      <c r="P152" s="3">
        <f t="shared" si="9"/>
        <v>0</v>
      </c>
    </row>
    <row r="153" spans="1:16" hidden="1" x14ac:dyDescent="0.25">
      <c r="A153"/>
      <c r="B153"/>
      <c r="D153" t="str">
        <f t="shared" si="10"/>
        <v/>
      </c>
      <c r="E153" t="e">
        <f>VLOOKUP(RAW[[#This Row],[Dept Code]],Table4[#All],2,FALSE)</f>
        <v>#N/A</v>
      </c>
      <c r="G153" s="6">
        <f ca="1">DATEDIF(RAW[[#This Row],[Hire Date]], TODAY(), "Y")</f>
        <v>126</v>
      </c>
      <c r="I153" s="12" t="e" cm="1">
        <f t="array" ref="I153">IF(H153="",MEDIAN(IF(($E$2:$E$151=E153)*($H$2:$H$151&lt;&gt;""),$H$2:$H$151)),H153)</f>
        <v>#N/A</v>
      </c>
      <c r="J153"/>
      <c r="K153" t="str" cm="1">
        <f t="array" ref="K153">_xlfn.IFS(RAW[[#This Row],[Perf_Score]]&gt;=95,"Outstanding",RAW[[#This Row],[Perf_Score]]&gt;=85,"Exceeding",RAW[[#This Row],[Perf_Score]]&gt;=70,"Achieving",RAW[[#This Row],[Perf_Score]]&gt;=50,"Developing",RAW[[#This Row],[Perf_Score]]&lt;=49,"Needs Improvement")</f>
        <v>Needs Improvement</v>
      </c>
      <c r="L153"/>
      <c r="M153">
        <f>IF(OR(RAW[[#This Row],[Employment Status]]="Left",RAW[[#This Row],[Employment Status]]="Resigned" ), 1, 0)</f>
        <v>0</v>
      </c>
      <c r="N153" t="str" cm="1">
        <f t="array" ref="N153">_xlfn.IFS(RAW[[#This Row],[Left/Resigned Band]]=0,"Active",RAW[[#This Row],[Left/Resigned Band]]=1,"Left")</f>
        <v>Active</v>
      </c>
      <c r="O153" t="str" cm="1">
        <f t="array" ref="O153">_xlfn.IFS(RAW[[#This Row],[Perf_Score]]&gt;=95,"0.12",RAW[[#This Row],[Perf_Score]]&gt;=85,"0.08",RAW[[#This Row],[Perf_Score]]&gt;=70,"0.05",RAW[[#This Row],[Perf_Score]]&gt;=50,"0.02",RAW[[#This Row],[Perf_Score]]&lt;=49,"0")</f>
        <v>0</v>
      </c>
      <c r="P153" s="3">
        <f t="shared" si="9"/>
        <v>0</v>
      </c>
    </row>
    <row r="154" spans="1:16" hidden="1" x14ac:dyDescent="0.25">
      <c r="A154"/>
      <c r="B154"/>
      <c r="D154" t="str">
        <f t="shared" si="10"/>
        <v/>
      </c>
      <c r="E154" t="e">
        <f>VLOOKUP(RAW[[#This Row],[Dept Code]],Table4[#All],2,FALSE)</f>
        <v>#N/A</v>
      </c>
      <c r="G154" s="6">
        <f ca="1">DATEDIF(RAW[[#This Row],[Hire Date]], TODAY(), "Y")</f>
        <v>126</v>
      </c>
      <c r="I154" s="12" t="e" cm="1">
        <f t="array" ref="I154">IF(H154="",MEDIAN(IF(($E$2:$E$151=E154)*($H$2:$H$151&lt;&gt;""),$H$2:$H$151)),H154)</f>
        <v>#N/A</v>
      </c>
      <c r="J154"/>
      <c r="K154" t="str" cm="1">
        <f t="array" ref="K154">_xlfn.IFS(RAW[[#This Row],[Perf_Score]]&gt;=95,"Outstanding",RAW[[#This Row],[Perf_Score]]&gt;=85,"Exceeding",RAW[[#This Row],[Perf_Score]]&gt;=70,"Achieving",RAW[[#This Row],[Perf_Score]]&gt;=50,"Developing",RAW[[#This Row],[Perf_Score]]&lt;=49,"Needs Improvement")</f>
        <v>Needs Improvement</v>
      </c>
      <c r="L154"/>
      <c r="M154">
        <f>IF(OR(RAW[[#This Row],[Employment Status]]="Left",RAW[[#This Row],[Employment Status]]="Resigned" ), 1, 0)</f>
        <v>0</v>
      </c>
      <c r="N154" t="str" cm="1">
        <f t="array" ref="N154">_xlfn.IFS(RAW[[#This Row],[Left/Resigned Band]]=0,"Active",RAW[[#This Row],[Left/Resigned Band]]=1,"Left")</f>
        <v>Active</v>
      </c>
      <c r="O154" t="str" cm="1">
        <f t="array" ref="O154">_xlfn.IFS(RAW[[#This Row],[Perf_Score]]&gt;=95,"0.12",RAW[[#This Row],[Perf_Score]]&gt;=85,"0.08",RAW[[#This Row],[Perf_Score]]&gt;=70,"0.05",RAW[[#This Row],[Perf_Score]]&gt;=50,"0.02",RAW[[#This Row],[Perf_Score]]&lt;=49,"0")</f>
        <v>0</v>
      </c>
      <c r="P154" s="3">
        <f t="shared" si="9"/>
        <v>0</v>
      </c>
    </row>
    <row r="155" spans="1:16" hidden="1" x14ac:dyDescent="0.25">
      <c r="A155"/>
      <c r="B155"/>
      <c r="D155" t="str">
        <f t="shared" si="10"/>
        <v/>
      </c>
      <c r="E155" t="e">
        <f>VLOOKUP(RAW[[#This Row],[Dept Code]],Table4[#All],2,FALSE)</f>
        <v>#N/A</v>
      </c>
      <c r="G155" s="6">
        <f ca="1">DATEDIF(RAW[[#This Row],[Hire Date]], TODAY(), "Y")</f>
        <v>126</v>
      </c>
      <c r="I155" s="12" t="e" cm="1">
        <f t="array" ref="I155">IF(H155="",MEDIAN(IF(($E$2:$E$151=E155)*($H$2:$H$151&lt;&gt;""),$H$2:$H$151)),H155)</f>
        <v>#N/A</v>
      </c>
      <c r="J155"/>
      <c r="K155" t="str" cm="1">
        <f t="array" ref="K155">_xlfn.IFS(RAW[[#This Row],[Perf_Score]]&gt;=95,"Outstanding",RAW[[#This Row],[Perf_Score]]&gt;=85,"Exceeding",RAW[[#This Row],[Perf_Score]]&gt;=70,"Achieving",RAW[[#This Row],[Perf_Score]]&gt;=50,"Developing",RAW[[#This Row],[Perf_Score]]&lt;=49,"Needs Improvement")</f>
        <v>Needs Improvement</v>
      </c>
      <c r="L155"/>
      <c r="M155">
        <f>IF(OR(RAW[[#This Row],[Employment Status]]="Left",RAW[[#This Row],[Employment Status]]="Resigned" ), 1, 0)</f>
        <v>0</v>
      </c>
      <c r="N155" t="str" cm="1">
        <f t="array" ref="N155">_xlfn.IFS(RAW[[#This Row],[Left/Resigned Band]]=0,"Active",RAW[[#This Row],[Left/Resigned Band]]=1,"Left")</f>
        <v>Active</v>
      </c>
      <c r="O155" t="str" cm="1">
        <f t="array" ref="O155">_xlfn.IFS(RAW[[#This Row],[Perf_Score]]&gt;=95,"0.12",RAW[[#This Row],[Perf_Score]]&gt;=85,"0.08",RAW[[#This Row],[Perf_Score]]&gt;=70,"0.05",RAW[[#This Row],[Perf_Score]]&gt;=50,"0.02",RAW[[#This Row],[Perf_Score]]&lt;=49,"0")</f>
        <v>0</v>
      </c>
      <c r="P155" s="3">
        <f t="shared" si="9"/>
        <v>0</v>
      </c>
    </row>
    <row r="156" spans="1:16" hidden="1" x14ac:dyDescent="0.25">
      <c r="A156"/>
      <c r="B156"/>
      <c r="D156" t="str">
        <f t="shared" si="10"/>
        <v/>
      </c>
      <c r="E156" t="e">
        <f>VLOOKUP(RAW[[#This Row],[Dept Code]],Table4[#All],2,FALSE)</f>
        <v>#N/A</v>
      </c>
      <c r="G156" s="6">
        <f ca="1">DATEDIF(RAW[[#This Row],[Hire Date]], TODAY(), "Y")</f>
        <v>126</v>
      </c>
      <c r="I156" s="12" t="e" cm="1">
        <f t="array" ref="I156">IF(H156="",MEDIAN(IF(($E$2:$E$151=E156)*($H$2:$H$151&lt;&gt;""),$H$2:$H$151)),H156)</f>
        <v>#N/A</v>
      </c>
      <c r="J156"/>
      <c r="K156" t="str" cm="1">
        <f t="array" ref="K156">_xlfn.IFS(RAW[[#This Row],[Perf_Score]]&gt;=95,"Outstanding",RAW[[#This Row],[Perf_Score]]&gt;=85,"Exceeding",RAW[[#This Row],[Perf_Score]]&gt;=70,"Achieving",RAW[[#This Row],[Perf_Score]]&gt;=50,"Developing",RAW[[#This Row],[Perf_Score]]&lt;=49,"Needs Improvement")</f>
        <v>Needs Improvement</v>
      </c>
      <c r="L156"/>
      <c r="M156">
        <f>IF(OR(RAW[[#This Row],[Employment Status]]="Left",RAW[[#This Row],[Employment Status]]="Resigned" ), 1, 0)</f>
        <v>0</v>
      </c>
      <c r="N156" t="str" cm="1">
        <f t="array" ref="N156">_xlfn.IFS(RAW[[#This Row],[Left/Resigned Band]]=0,"Active",RAW[[#This Row],[Left/Resigned Band]]=1,"Left")</f>
        <v>Active</v>
      </c>
      <c r="O156" t="str" cm="1">
        <f t="array" ref="O156">_xlfn.IFS(RAW[[#This Row],[Perf_Score]]&gt;=95,"0.12",RAW[[#This Row],[Perf_Score]]&gt;=85,"0.08",RAW[[#This Row],[Perf_Score]]&gt;=70,"0.05",RAW[[#This Row],[Perf_Score]]&gt;=50,"0.02",RAW[[#This Row],[Perf_Score]]&lt;=49,"0")</f>
        <v>0</v>
      </c>
      <c r="P156" s="3">
        <f t="shared" si="9"/>
        <v>0</v>
      </c>
    </row>
    <row r="157" spans="1:16" hidden="1" x14ac:dyDescent="0.25">
      <c r="A157"/>
      <c r="B157"/>
      <c r="D157" t="str">
        <f t="shared" si="10"/>
        <v/>
      </c>
      <c r="E157" t="e">
        <f>VLOOKUP(RAW[[#This Row],[Dept Code]],Table4[#All],2,FALSE)</f>
        <v>#N/A</v>
      </c>
      <c r="G157" s="6">
        <f ca="1">DATEDIF(RAW[[#This Row],[Hire Date]], TODAY(), "Y")</f>
        <v>126</v>
      </c>
      <c r="I157" s="12" t="e" cm="1">
        <f t="array" ref="I157">IF(H157="",MEDIAN(IF(($E$2:$E$151=E157)*($H$2:$H$151&lt;&gt;""),$H$2:$H$151)),H157)</f>
        <v>#N/A</v>
      </c>
      <c r="J157"/>
      <c r="K157" t="str" cm="1">
        <f t="array" ref="K157">_xlfn.IFS(RAW[[#This Row],[Perf_Score]]&gt;=95,"Outstanding",RAW[[#This Row],[Perf_Score]]&gt;=85,"Exceeding",RAW[[#This Row],[Perf_Score]]&gt;=70,"Achieving",RAW[[#This Row],[Perf_Score]]&gt;=50,"Developing",RAW[[#This Row],[Perf_Score]]&lt;=49,"Needs Improvement")</f>
        <v>Needs Improvement</v>
      </c>
      <c r="L157"/>
      <c r="M157">
        <f>IF(OR(RAW[[#This Row],[Employment Status]]="Left",RAW[[#This Row],[Employment Status]]="Resigned" ), 1, 0)</f>
        <v>0</v>
      </c>
      <c r="N157" t="str" cm="1">
        <f t="array" ref="N157">_xlfn.IFS(RAW[[#This Row],[Left/Resigned Band]]=0,"Active",RAW[[#This Row],[Left/Resigned Band]]=1,"Left")</f>
        <v>Active</v>
      </c>
      <c r="O157" t="str" cm="1">
        <f t="array" ref="O157">_xlfn.IFS(RAW[[#This Row],[Perf_Score]]&gt;=95,"0.12",RAW[[#This Row],[Perf_Score]]&gt;=85,"0.08",RAW[[#This Row],[Perf_Score]]&gt;=70,"0.05",RAW[[#This Row],[Perf_Score]]&gt;=50,"0.02",RAW[[#This Row],[Perf_Score]]&lt;=49,"0")</f>
        <v>0</v>
      </c>
      <c r="P157" s="3">
        <f t="shared" si="9"/>
        <v>0</v>
      </c>
    </row>
    <row r="158" spans="1:16" hidden="1" x14ac:dyDescent="0.25">
      <c r="A158"/>
      <c r="B158"/>
      <c r="D158" t="str">
        <f t="shared" si="10"/>
        <v/>
      </c>
      <c r="E158" t="e">
        <f>VLOOKUP(RAW[[#This Row],[Dept Code]],Table4[#All],2,FALSE)</f>
        <v>#N/A</v>
      </c>
      <c r="G158" s="6">
        <f ca="1">DATEDIF(RAW[[#This Row],[Hire Date]], TODAY(), "Y")</f>
        <v>126</v>
      </c>
      <c r="I158" s="12" t="e" cm="1">
        <f t="array" ref="I158">IF(H158="",MEDIAN(IF(($E$2:$E$151=E158)*($H$2:$H$151&lt;&gt;""),$H$2:$H$151)),H158)</f>
        <v>#N/A</v>
      </c>
      <c r="J158"/>
      <c r="K158" t="str" cm="1">
        <f t="array" ref="K158">_xlfn.IFS(RAW[[#This Row],[Perf_Score]]&gt;=95,"Outstanding",RAW[[#This Row],[Perf_Score]]&gt;=85,"Exceeding",RAW[[#This Row],[Perf_Score]]&gt;=70,"Achieving",RAW[[#This Row],[Perf_Score]]&gt;=50,"Developing",RAW[[#This Row],[Perf_Score]]&lt;=49,"Needs Improvement")</f>
        <v>Needs Improvement</v>
      </c>
      <c r="L158"/>
      <c r="M158">
        <f>IF(OR(RAW[[#This Row],[Employment Status]]="Left",RAW[[#This Row],[Employment Status]]="Resigned" ), 1, 0)</f>
        <v>0</v>
      </c>
      <c r="N158" t="str" cm="1">
        <f t="array" ref="N158">_xlfn.IFS(RAW[[#This Row],[Left/Resigned Band]]=0,"Active",RAW[[#This Row],[Left/Resigned Band]]=1,"Left")</f>
        <v>Active</v>
      </c>
      <c r="O158" t="str" cm="1">
        <f t="array" ref="O158">_xlfn.IFS(RAW[[#This Row],[Perf_Score]]&gt;=95,"0.12",RAW[[#This Row],[Perf_Score]]&gt;=85,"0.08",RAW[[#This Row],[Perf_Score]]&gt;=70,"0.05",RAW[[#This Row],[Perf_Score]]&gt;=50,"0.02",RAW[[#This Row],[Perf_Score]]&lt;=49,"0")</f>
        <v>0</v>
      </c>
      <c r="P158" s="3">
        <f t="shared" si="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4239C-9E88-4960-AADB-4C6EC3E95C8F}">
  <dimension ref="A1:B7"/>
  <sheetViews>
    <sheetView workbookViewId="0">
      <selection activeCell="C5" sqref="C5"/>
    </sheetView>
  </sheetViews>
  <sheetFormatPr defaultRowHeight="15" x14ac:dyDescent="0.25"/>
  <cols>
    <col min="1" max="1" width="15.42578125" style="14" customWidth="1"/>
    <col min="2" max="2" width="22.140625" style="14" customWidth="1"/>
  </cols>
  <sheetData>
    <row r="1" spans="1:2" x14ac:dyDescent="0.25">
      <c r="A1" s="13" t="s">
        <v>297</v>
      </c>
      <c r="B1" s="13" t="s">
        <v>298</v>
      </c>
    </row>
    <row r="2" spans="1:2" x14ac:dyDescent="0.25">
      <c r="A2" s="14" t="s">
        <v>64</v>
      </c>
      <c r="B2" s="14" t="s">
        <v>299</v>
      </c>
    </row>
    <row r="3" spans="1:2" x14ac:dyDescent="0.25">
      <c r="A3" s="14" t="s">
        <v>8</v>
      </c>
      <c r="B3" s="14" t="s">
        <v>300</v>
      </c>
    </row>
    <row r="4" spans="1:2" x14ac:dyDescent="0.25">
      <c r="A4" s="14" t="s">
        <v>16</v>
      </c>
      <c r="B4" s="14" t="s">
        <v>301</v>
      </c>
    </row>
    <row r="5" spans="1:2" x14ac:dyDescent="0.25">
      <c r="A5" s="14" t="s">
        <v>11</v>
      </c>
      <c r="B5" s="14" t="s">
        <v>302</v>
      </c>
    </row>
    <row r="6" spans="1:2" x14ac:dyDescent="0.25">
      <c r="A6" s="14" t="s">
        <v>28</v>
      </c>
      <c r="B6" s="14" t="s">
        <v>303</v>
      </c>
    </row>
    <row r="7" spans="1:2" x14ac:dyDescent="0.25">
      <c r="A7" s="14" t="s">
        <v>21</v>
      </c>
      <c r="B7" s="14" t="s">
        <v>304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196B-10EA-4504-814F-CE9C109BCDE9}">
  <dimension ref="A1:D6"/>
  <sheetViews>
    <sheetView workbookViewId="0">
      <selection activeCell="E13" sqref="E13"/>
    </sheetView>
  </sheetViews>
  <sheetFormatPr defaultRowHeight="15" x14ac:dyDescent="0.25"/>
  <cols>
    <col min="1" max="1" width="14.85546875" customWidth="1"/>
    <col min="2" max="2" width="17.7109375" customWidth="1"/>
    <col min="3" max="3" width="23.7109375" customWidth="1"/>
    <col min="4" max="4" width="22.140625" customWidth="1"/>
  </cols>
  <sheetData>
    <row r="1" spans="1:4" x14ac:dyDescent="0.25">
      <c r="A1" s="9" t="s">
        <v>305</v>
      </c>
      <c r="B1" s="9" t="s">
        <v>306</v>
      </c>
      <c r="C1" s="9" t="s">
        <v>307</v>
      </c>
      <c r="D1" s="9" t="s">
        <v>308</v>
      </c>
    </row>
    <row r="2" spans="1:4" x14ac:dyDescent="0.25">
      <c r="A2">
        <v>0</v>
      </c>
      <c r="B2">
        <v>49</v>
      </c>
      <c r="C2" t="s">
        <v>309</v>
      </c>
      <c r="D2">
        <v>0</v>
      </c>
    </row>
    <row r="3" spans="1:4" x14ac:dyDescent="0.25">
      <c r="A3">
        <v>50</v>
      </c>
      <c r="B3">
        <v>69</v>
      </c>
      <c r="C3" t="s">
        <v>310</v>
      </c>
      <c r="D3">
        <v>0.02</v>
      </c>
    </row>
    <row r="4" spans="1:4" x14ac:dyDescent="0.25">
      <c r="A4">
        <v>70</v>
      </c>
      <c r="B4">
        <v>84</v>
      </c>
      <c r="C4" t="s">
        <v>311</v>
      </c>
      <c r="D4">
        <v>0.05</v>
      </c>
    </row>
    <row r="5" spans="1:4" x14ac:dyDescent="0.25">
      <c r="A5">
        <v>85</v>
      </c>
      <c r="B5">
        <v>94</v>
      </c>
      <c r="C5" t="s">
        <v>312</v>
      </c>
      <c r="D5">
        <v>0.08</v>
      </c>
    </row>
    <row r="6" spans="1:4" x14ac:dyDescent="0.25">
      <c r="A6">
        <v>95</v>
      </c>
      <c r="B6">
        <v>100</v>
      </c>
      <c r="C6" t="s">
        <v>313</v>
      </c>
      <c r="D6">
        <v>0.12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2E9D-CEC7-4C48-95C7-5752A38BFE0C}">
  <dimension ref="A2:AC30"/>
  <sheetViews>
    <sheetView zoomScale="73" zoomScaleNormal="73" workbookViewId="0">
      <selection activeCell="E24" sqref="E24"/>
    </sheetView>
  </sheetViews>
  <sheetFormatPr defaultRowHeight="15" x14ac:dyDescent="0.25"/>
  <cols>
    <col min="1" max="1" width="22.42578125" bestFit="1" customWidth="1"/>
    <col min="2" max="2" width="16.140625" bestFit="1" customWidth="1"/>
    <col min="3" max="3" width="18.140625" bestFit="1" customWidth="1"/>
    <col min="4" max="4" width="11.28515625" bestFit="1" customWidth="1"/>
    <col min="5" max="5" width="34.140625" bestFit="1" customWidth="1"/>
    <col min="7" max="7" width="13.42578125" bestFit="1" customWidth="1"/>
    <col min="8" max="8" width="22.42578125" bestFit="1" customWidth="1"/>
    <col min="9" max="9" width="18" bestFit="1" customWidth="1"/>
    <col min="10" max="10" width="17.42578125" bestFit="1" customWidth="1"/>
    <col min="11" max="11" width="16.140625" bestFit="1" customWidth="1"/>
    <col min="12" max="12" width="17.42578125" bestFit="1" customWidth="1"/>
    <col min="14" max="14" width="19.140625" bestFit="1" customWidth="1"/>
    <col min="15" max="15" width="18.140625" bestFit="1" customWidth="1"/>
    <col min="16" max="16" width="22.42578125" bestFit="1" customWidth="1"/>
    <col min="17" max="17" width="18" bestFit="1" customWidth="1"/>
    <col min="18" max="18" width="17.42578125" bestFit="1" customWidth="1"/>
    <col min="19" max="19" width="16.140625" bestFit="1" customWidth="1"/>
    <col min="20" max="20" width="17.42578125" bestFit="1" customWidth="1"/>
    <col min="21" max="21" width="21.28515625" bestFit="1" customWidth="1"/>
    <col min="22" max="22" width="22.42578125" bestFit="1" customWidth="1"/>
    <col min="27" max="27" width="21.28515625" bestFit="1" customWidth="1"/>
    <col min="28" max="28" width="18" bestFit="1" customWidth="1"/>
    <col min="29" max="30" width="14.28515625" bestFit="1" customWidth="1"/>
  </cols>
  <sheetData>
    <row r="2" spans="1:13" x14ac:dyDescent="0.25">
      <c r="A2" s="20" t="s">
        <v>319</v>
      </c>
      <c r="H2" s="20"/>
    </row>
    <row r="3" spans="1:13" x14ac:dyDescent="0.25">
      <c r="A3" s="18" t="s">
        <v>315</v>
      </c>
      <c r="B3" t="s">
        <v>318</v>
      </c>
      <c r="C3" t="s">
        <v>333</v>
      </c>
      <c r="H3" s="25" t="s">
        <v>327</v>
      </c>
      <c r="M3" s="20"/>
    </row>
    <row r="4" spans="1:13" x14ac:dyDescent="0.25">
      <c r="A4" s="19" t="s">
        <v>301</v>
      </c>
      <c r="B4" s="17">
        <v>17</v>
      </c>
      <c r="C4" s="12">
        <v>88858.529411764699</v>
      </c>
      <c r="H4" s="18" t="s">
        <v>315</v>
      </c>
      <c r="I4" t="s">
        <v>326</v>
      </c>
    </row>
    <row r="5" spans="1:13" x14ac:dyDescent="0.25">
      <c r="A5" s="19" t="s">
        <v>299</v>
      </c>
      <c r="B5" s="17">
        <v>18</v>
      </c>
      <c r="C5" s="12">
        <v>85682.277777777781</v>
      </c>
      <c r="H5" s="19" t="s">
        <v>311</v>
      </c>
      <c r="I5" s="12">
        <v>144315.95000000001</v>
      </c>
    </row>
    <row r="6" spans="1:13" x14ac:dyDescent="0.25">
      <c r="A6" s="19" t="s">
        <v>300</v>
      </c>
      <c r="B6" s="17">
        <v>36</v>
      </c>
      <c r="C6" s="12">
        <v>79709.361111111109</v>
      </c>
      <c r="H6" s="19" t="s">
        <v>310</v>
      </c>
      <c r="I6" s="12">
        <v>58138.3</v>
      </c>
    </row>
    <row r="7" spans="1:13" x14ac:dyDescent="0.25">
      <c r="A7" s="19" t="s">
        <v>302</v>
      </c>
      <c r="B7" s="17">
        <v>19</v>
      </c>
      <c r="C7" s="12">
        <v>85512</v>
      </c>
      <c r="H7" s="19" t="s">
        <v>312</v>
      </c>
      <c r="I7" s="12">
        <v>131312.80000000002</v>
      </c>
    </row>
    <row r="8" spans="1:13" x14ac:dyDescent="0.25">
      <c r="A8" s="19" t="s">
        <v>304</v>
      </c>
      <c r="B8" s="17">
        <v>29</v>
      </c>
      <c r="C8" s="12">
        <v>79024</v>
      </c>
      <c r="H8" s="19" t="s">
        <v>309</v>
      </c>
      <c r="I8" s="12">
        <v>0</v>
      </c>
    </row>
    <row r="9" spans="1:13" x14ac:dyDescent="0.25">
      <c r="A9" s="19" t="s">
        <v>303</v>
      </c>
      <c r="B9" s="17">
        <v>31</v>
      </c>
      <c r="C9" s="12">
        <v>85714</v>
      </c>
      <c r="H9" s="19" t="s">
        <v>313</v>
      </c>
      <c r="I9" s="12">
        <v>82379.040000000008</v>
      </c>
    </row>
    <row r="10" spans="1:13" x14ac:dyDescent="0.25">
      <c r="H10" s="19" t="s">
        <v>316</v>
      </c>
      <c r="I10" s="12">
        <v>416146.09000000008</v>
      </c>
    </row>
    <row r="11" spans="1:13" x14ac:dyDescent="0.25">
      <c r="A11" s="21" t="s">
        <v>320</v>
      </c>
      <c r="C11" s="20" t="s">
        <v>330</v>
      </c>
      <c r="E11" s="20" t="s">
        <v>333</v>
      </c>
    </row>
    <row r="12" spans="1:13" x14ac:dyDescent="0.25">
      <c r="A12" t="s">
        <v>314</v>
      </c>
      <c r="C12" t="s">
        <v>326</v>
      </c>
      <c r="E12" t="s">
        <v>333</v>
      </c>
      <c r="I12" s="20"/>
    </row>
    <row r="13" spans="1:13" x14ac:dyDescent="0.25">
      <c r="A13" s="17">
        <v>150</v>
      </c>
      <c r="C13" s="12">
        <v>416146.09</v>
      </c>
      <c r="E13" s="10">
        <v>83306.473333333328</v>
      </c>
      <c r="I13" s="20" t="s">
        <v>317</v>
      </c>
    </row>
    <row r="14" spans="1:13" x14ac:dyDescent="0.25">
      <c r="I14" s="18" t="s">
        <v>322</v>
      </c>
    </row>
    <row r="15" spans="1:13" x14ac:dyDescent="0.25">
      <c r="I15" t="s">
        <v>29</v>
      </c>
      <c r="K15" t="s">
        <v>19</v>
      </c>
    </row>
    <row r="16" spans="1:13" x14ac:dyDescent="0.25">
      <c r="H16" s="18" t="s">
        <v>315</v>
      </c>
      <c r="I16" t="s">
        <v>318</v>
      </c>
      <c r="J16" t="s">
        <v>328</v>
      </c>
      <c r="K16" t="s">
        <v>318</v>
      </c>
      <c r="L16" t="s">
        <v>328</v>
      </c>
    </row>
    <row r="17" spans="1:29" x14ac:dyDescent="0.25">
      <c r="H17" s="19" t="s">
        <v>301</v>
      </c>
      <c r="I17" s="17">
        <v>14</v>
      </c>
      <c r="J17" s="22">
        <v>0.82352941176470584</v>
      </c>
      <c r="K17" s="17">
        <v>3</v>
      </c>
      <c r="L17" s="22">
        <v>0.17647058823529413</v>
      </c>
    </row>
    <row r="18" spans="1:29" x14ac:dyDescent="0.25">
      <c r="A18" s="26" t="s">
        <v>329</v>
      </c>
      <c r="H18" s="19" t="s">
        <v>299</v>
      </c>
      <c r="I18" s="17">
        <v>15</v>
      </c>
      <c r="J18" s="22">
        <v>0.83333333333333337</v>
      </c>
      <c r="K18" s="17">
        <v>3</v>
      </c>
      <c r="L18" s="22">
        <v>0.16666666666666666</v>
      </c>
    </row>
    <row r="19" spans="1:29" x14ac:dyDescent="0.25">
      <c r="B19" s="18" t="s">
        <v>322</v>
      </c>
      <c r="H19" s="19" t="s">
        <v>300</v>
      </c>
      <c r="I19" s="17">
        <v>28</v>
      </c>
      <c r="J19" s="22">
        <v>0.77777777777777779</v>
      </c>
      <c r="K19" s="17">
        <v>8</v>
      </c>
      <c r="L19" s="22">
        <v>0.22222222222222221</v>
      </c>
    </row>
    <row r="20" spans="1:29" x14ac:dyDescent="0.25">
      <c r="B20" t="s">
        <v>29</v>
      </c>
      <c r="C20" t="s">
        <v>19</v>
      </c>
      <c r="H20" s="19" t="s">
        <v>302</v>
      </c>
      <c r="I20" s="17">
        <v>16</v>
      </c>
      <c r="J20" s="22">
        <v>0.84210526315789469</v>
      </c>
      <c r="K20" s="17">
        <v>3</v>
      </c>
      <c r="L20" s="22">
        <v>0.15789473684210525</v>
      </c>
    </row>
    <row r="21" spans="1:29" x14ac:dyDescent="0.25">
      <c r="A21" t="s">
        <v>321</v>
      </c>
      <c r="B21" s="4">
        <v>67.544642857142861</v>
      </c>
      <c r="C21" s="4">
        <v>70.066666666666663</v>
      </c>
      <c r="H21" s="19" t="s">
        <v>304</v>
      </c>
      <c r="I21" s="17">
        <v>19</v>
      </c>
      <c r="J21" s="22">
        <v>0.65517241379310343</v>
      </c>
      <c r="K21" s="17">
        <v>10</v>
      </c>
      <c r="L21" s="22">
        <v>0.34482758620689657</v>
      </c>
    </row>
    <row r="22" spans="1:29" x14ac:dyDescent="0.25">
      <c r="H22" s="19" t="s">
        <v>303</v>
      </c>
      <c r="I22" s="17">
        <v>27</v>
      </c>
      <c r="J22" s="22">
        <v>0.87096774193548387</v>
      </c>
      <c r="K22" s="17">
        <v>4</v>
      </c>
      <c r="L22" s="22">
        <v>0.12903225806451613</v>
      </c>
    </row>
    <row r="23" spans="1:29" x14ac:dyDescent="0.25">
      <c r="H23" s="19" t="s">
        <v>316</v>
      </c>
      <c r="I23" s="17">
        <v>119</v>
      </c>
      <c r="J23" s="22">
        <v>0.79333333333333333</v>
      </c>
      <c r="K23" s="17">
        <v>31</v>
      </c>
      <c r="L23" s="22">
        <v>0.20666666666666667</v>
      </c>
    </row>
    <row r="30" spans="1:29" x14ac:dyDescent="0.25">
      <c r="AB30" s="3"/>
      <c r="AC3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CEF7-BDEF-45BA-9098-FF20B318DFEA}">
  <dimension ref="A1"/>
  <sheetViews>
    <sheetView showGridLines="0" zoomScale="62" zoomScaleNormal="62" workbookViewId="0">
      <selection activeCell="AA28" sqref="AA28"/>
    </sheetView>
  </sheetViews>
  <sheetFormatPr defaultRowHeight="15" x14ac:dyDescent="0.25"/>
  <cols>
    <col min="19" max="19"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Raw-Employee-Data</vt:lpstr>
      <vt:lpstr>Lookup-Departments</vt:lpstr>
      <vt:lpstr>Lookup-Performance </vt:lpstr>
      <vt:lpstr>Analysis</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Rahman Azeezat Taiwo</dc:creator>
  <cp:lastModifiedBy>Rahman Azeezat Taiwo</cp:lastModifiedBy>
  <dcterms:created xsi:type="dcterms:W3CDTF">2026-07-03T13:01:40Z</dcterms:created>
  <dcterms:modified xsi:type="dcterms:W3CDTF">2026-07-05T15:14:28Z</dcterms:modified>
</cp:coreProperties>
</file>